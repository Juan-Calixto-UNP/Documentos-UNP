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defaultThemeVersion="124226"/>
  <mc:AlternateContent xmlns:mc="http://schemas.openxmlformats.org/markup-compatibility/2006">
    <mc:Choice Requires="x15">
      <x15ac:absPath xmlns:x15ac="http://schemas.microsoft.com/office/spreadsheetml/2010/11/ac" url="C:\Users\juanc\Downloads\"/>
    </mc:Choice>
  </mc:AlternateContent>
  <xr:revisionPtr revIDLastSave="0" documentId="13_ncr:1_{3D6A00C7-F2AC-4871-B08A-41DF7087F78B}" xr6:coauthVersionLast="47" xr6:coauthVersionMax="47" xr10:uidLastSave="{00000000-0000-0000-0000-000000000000}"/>
  <bookViews>
    <workbookView xWindow="-120" yWindow="-120" windowWidth="29040" windowHeight="15720" xr2:uid="{00000000-000D-0000-FFFF-FFFF00000000}"/>
  </bookViews>
  <sheets>
    <sheet name="Formato" sheetId="1" r:id="rId1"/>
    <sheet name="Instructivo" sheetId="2" r:id="rId2"/>
  </sheets>
  <definedNames>
    <definedName name="_xlnm.Print_Area" localSheetId="0">Formato!$A$1:$M$55</definedName>
    <definedName name="_xlnm.Print_Area" localSheetId="1">Instructivo!$A$1:$M$26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33" i="1" l="1"/>
  <c r="G29" i="1"/>
  <c r="D40" i="1"/>
  <c r="G25" i="1"/>
  <c r="G28" i="1" s="1"/>
  <c r="A11" i="2"/>
  <c r="A9" i="2"/>
  <c r="A8" i="2"/>
  <c r="A34" i="1"/>
  <c r="G26" i="1" l="1"/>
  <c r="G3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tc={87F863D3-0EBB-4EAD-8AD3-7B942B80DD45}</author>
  </authors>
  <commentList>
    <comment ref="A170" authorId="0" shapeId="0" xr:uid="{00000000-0006-0000-00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Por favor indicar , por que  lo están relacionado y se realice los ajustes que haya lugar. 
Respuesta:
    Falta brindar respuesta</t>
        </r>
      </text>
    </comment>
  </commentList>
</comments>
</file>

<file path=xl/sharedStrings.xml><?xml version="1.0" encoding="utf-8"?>
<sst xmlns="http://schemas.openxmlformats.org/spreadsheetml/2006/main" count="144" uniqueCount="125">
  <si>
    <t xml:space="preserve"> INFORME MENSUAL DE PRESTACIÓN DE SERVICIOS </t>
  </si>
  <si>
    <t>GESTIÓN CONTRACTUAL</t>
  </si>
  <si>
    <t>UNIDAD NACIONAL DE PROTECCIÓN</t>
  </si>
  <si>
    <t>DATOS E INFORMACIÓN DEL CONTRATISTA</t>
  </si>
  <si>
    <t>PERIODO INFORMADO</t>
  </si>
  <si>
    <t>NOMBRE CONTRATISTA :</t>
  </si>
  <si>
    <t>JUAN FELIPE CALIXTO LONDOÑO</t>
  </si>
  <si>
    <t>CONTRATO No :</t>
  </si>
  <si>
    <t>2023 del 2026</t>
  </si>
  <si>
    <t>GESTIÓN O ACTIVIDADES REALIZADAS</t>
  </si>
  <si>
    <t xml:space="preserve">No. </t>
  </si>
  <si>
    <t xml:space="preserve">OBLIGACIÓN CONTRACTUAL </t>
  </si>
  <si>
    <t>ACTIVIDAD REALIZADA</t>
  </si>
  <si>
    <t>EVIDENCIA- REGISTRO Y/O SOPORTE DE LA EJECUCIÓN DE LA ACTIVIDAD REALIZADA</t>
  </si>
  <si>
    <t>Apoyo en la creación, diseño, programación y administración de las herramientas y aplicativos, requeridas en la Subdirección de Protección, con la finalidad de integrar y consolidar todas las gestiones adelantadas en los Grupos Misionales en tiempo real, en coordinación con el supervisor del contrato.</t>
  </si>
  <si>
    <t>https://github.com/EcosistemaUNP/bk-sp-asp.git</t>
  </si>
  <si>
    <t>Mantener periódicamente actualizados los datos aportados por el Grupo de Secretaría Técnica del Comité de Evaluación de Riesgo y Recomendación de Medidas (CERREM), con relación a los actos administrativos emitidos por la Dirección General en las herramientas tecnológicas realizadas.</t>
  </si>
  <si>
    <t>Este mes no se llevaron a cabo las actividades mencionadas, ya que no fue realizada ninguna designación para alguno de estos procesos. Pero se realiza seguimiento al proceso que se llevo del mes anterior.</t>
  </si>
  <si>
    <t>Enlace del arbol de aplicaciones de la Subdirección: https://apps.powerapps.com/play/e/default-58ec5e61-0ed7-4021-a4f8-c2e2b3b9f5ff/a/9f47d67b-a14a-449a-9e20-5fba6e6e51c3?tenantId=58ec5e61-0ed7-4021-a4f8-c2e2b3b9f5ff&amp;sourcetime=1757003904953</t>
  </si>
  <si>
    <t>Realizar los requerimientos a los Grupos de la Subdirección de Protección en donde se observen inconsistencias en la información aportada, para la actualización periódica de información.</t>
  </si>
  <si>
    <t>https://github.com/EcosistemaUNP/bk-sp-asp/commits/JCalixto-dev</t>
  </si>
  <si>
    <t>Brindar apoyo en la actualización de las herramientas y aplicativos de la Subdirección de Protección, que sirvan de insumo para atender las solicitudes de información requeridas por el supervisor del contrato.</t>
  </si>
  <si>
    <t>Proyectar los insumos y las respuestas a las peticiones que le sean asignadas, que versen sobre trámites misionales de competencia de la Subdirección de Protección, dentro de los plazos estipulados en la ley, en concordancia con los procedimientos internos de la Entidad. Al mismo tiempo, mantener actualizado el Sistema de Gestión Documental, respecto de los radicados</t>
  </si>
  <si>
    <t>Se proyectaron los insumos y las respuestas a las peticiones asignadas en el desarrollo del aplicativo sp-asp con el fin de generar procedimientos que faciliten los trámites misionales y procesos internos de la Entidad.</t>
  </si>
  <si>
    <t>Efectuar la automatización de la información de todos los procedimientos adelantados por la Subdirección de Protección, con las herramientas tecnológicas disponibles, para brindar informes y reportes en tiempo real, solicitados por el supervisor.</t>
  </si>
  <si>
    <t>Registrar y actualizar de manera oportuna y precisa la información gestionada en los sistemas digitales y/o físicos de la Subdirección de Protección, cumpliendo con las políticas de seguridad de la información de la Entidad.</t>
  </si>
  <si>
    <t>Presentar los informes periódicos respecto del avance y desarrollo de gestiones que le sean encomendadas, en los plazos establecidos, conforme le sea solicitado por el supervisor del contrato.</t>
  </si>
  <si>
    <t>Se realizó el desarrollo del informe mensual con las actividades y capacitaciones desarrolladas en el mes de Noviembre para ser presentado a revisión del supervisor.</t>
  </si>
  <si>
    <t>Link a OneDrive del empleado en el cual se pueden encontrar los documentos realizados</t>
  </si>
  <si>
    <t>Participar en las reuniones y capacitaciones requeridas por el supervisor del contrato.</t>
  </si>
  <si>
    <t>Link a Microsoft Teams</t>
  </si>
  <si>
    <t>Guardar absoluta reserva de la información digital, sistematizada y/o documental, que conozca con ocasión del presente contrato, así como tomar las medidas necesarias a fin de evitar los riesgos de pérdida, destrucción o alteración y uso no autorizado o fraudulento de la misma, en correlación con el Acta de Compromiso de Reserva de la Información diligenciada y firma, según formato GTE-FT-34.</t>
  </si>
  <si>
    <t>Se guarda absolutará reserva de la información digital, sistematizada y/o documental, que conozca con ocasión del presente contrato, así como tomar las medidas necesarias a fin de evitar los riesgos de pérdida, destrucción o alteración y uso no autorizado o fraudulento de la misma, en correlación con el Acta de Compromiso de Reserva de la Información diligenciada y firma, según formato GTE-FT-34 y demás normas y leyes que reglamenten, adicione o modifiquen la materia.</t>
  </si>
  <si>
    <r>
      <rPr>
        <sz val="11"/>
        <color theme="10"/>
        <rFont val="Calibri"/>
        <family val="2"/>
        <scheme val="minor"/>
      </rPr>
      <t xml:space="preserve">Se cumple con lo estipulado bajo el contrato encontrado en la página del </t>
    </r>
    <r>
      <rPr>
        <u/>
        <sz val="11"/>
        <color theme="10"/>
        <rFont val="Calibri"/>
        <family val="2"/>
        <scheme val="minor"/>
      </rPr>
      <t>SECOP</t>
    </r>
  </si>
  <si>
    <t>Las demás que le sean asignadas y requeridas por el supervisor del contrato y que estén relacionadas con el objeto contractual, siempre y cuando guarden relación con las funciones y competencias de la Subdirección de Protección, el Proceso de Gestión de Medidas de Protección y el Programa de Prevención y Protección.</t>
  </si>
  <si>
    <t>Se atienden todos los requerimientos adicionales solicitados por el supervisor del contrato y por el líder del equipo.</t>
  </si>
  <si>
    <t xml:space="preserve"> VALOR INICIAL DEL CONTRATO </t>
  </si>
  <si>
    <t xml:space="preserve">VALOR ADICIÓN </t>
  </si>
  <si>
    <t>VALOR TOTAL DEL CONTRATO</t>
  </si>
  <si>
    <t>PORCENTAJE DE EJECUCIÓN EN ESTE PERIODO</t>
  </si>
  <si>
    <t>VALOR A PAGAR EN ESTE PERIODO</t>
  </si>
  <si>
    <t>PORCENTAJE ACUMULADO</t>
  </si>
  <si>
    <t>VALOR ACUMULADO</t>
  </si>
  <si>
    <t>SALDO POR EJECUTAR</t>
  </si>
  <si>
    <t xml:space="preserve">Declaro que </t>
  </si>
  <si>
    <t>NO</t>
  </si>
  <si>
    <t xml:space="preserve">he suscrito un nuevo contrato de prestación de servicios con otra entidad durante el periodo informado </t>
  </si>
  <si>
    <t>FIRMA DEL CONTRATISTA</t>
  </si>
  <si>
    <t>Nombre:</t>
  </si>
  <si>
    <t xml:space="preserve">C.C. No. </t>
  </si>
  <si>
    <t>Fecha Informe:</t>
  </si>
  <si>
    <t>DECLARACIÓN DEL SUPERVISOR</t>
  </si>
  <si>
    <t>El suscrito supervisor del Contrato No.</t>
  </si>
  <si>
    <t>declara que ha verificado el informe de actividades contenido en el presente documento las cuales fueron ejecutadas durante el periodo que se reporta y corresponden</t>
  </si>
  <si>
    <t>a las obligaciones consignadas en el contrato aludido.  En mérito de lo anterior se deja constancia del cumplimiento a satisfacción del objeto contratado. Así mismo, certifica que ha verificado el cumplimiento de las obligaciones de pago de parafiscales a cargo del contratista.</t>
  </si>
  <si>
    <t xml:space="preserve">SUPERVISOR  </t>
  </si>
  <si>
    <t>Firma:</t>
  </si>
  <si>
    <t>APOYO A LA SUPERVISIÓN EN LA VERIFICACIÓN DE CUMPLIMIENTO DE LOS REQUISITOS PARA RADICACIÓN DE CUENTAS</t>
  </si>
  <si>
    <t>MIGUEL ANGEL QUIROGA RUIZ</t>
  </si>
  <si>
    <t>DANIEL ANDRES JARAMILLO GUTIERREZ</t>
  </si>
  <si>
    <t>Cédula No:</t>
  </si>
  <si>
    <t>Cargo:</t>
  </si>
  <si>
    <t>DIRECTOR DE PROTECCIÓN</t>
  </si>
  <si>
    <t>Cargo y/o vinculación</t>
  </si>
  <si>
    <t>CONTRATISTA PROFESIONAL</t>
  </si>
  <si>
    <r>
      <rPr>
        <b/>
        <i/>
        <sz val="10"/>
        <rFont val="Arial"/>
        <family val="2"/>
      </rPr>
      <t>Archívese en:</t>
    </r>
    <r>
      <rPr>
        <b/>
        <sz val="10"/>
        <rFont val="Arial"/>
        <family val="2"/>
      </rPr>
      <t xml:space="preserve"> Expediente contractual</t>
    </r>
  </si>
  <si>
    <t>Etiquetado: P</t>
  </si>
  <si>
    <t>GCT-FT-18/V5</t>
  </si>
  <si>
    <t>Oficialización: 16/01/2026</t>
  </si>
  <si>
    <r>
      <rPr>
        <b/>
        <sz val="10"/>
        <rFont val="Arial"/>
        <family val="2"/>
      </rPr>
      <t>Página</t>
    </r>
    <r>
      <rPr>
        <sz val="10"/>
        <rFont val="Arial"/>
        <family val="2"/>
      </rPr>
      <t xml:space="preserve"> 1 de 1</t>
    </r>
  </si>
  <si>
    <t>VERSIÓN INICIAL</t>
  </si>
  <si>
    <t>DESCRIPCIÓN DE LA CREACIÓN O CAMBIO DEL DOCUMENTO</t>
  </si>
  <si>
    <t>FECHA</t>
  </si>
  <si>
    <t>VERSIÓN FINAL</t>
  </si>
  <si>
    <t>Se crea el formato dando cumplimiento a la Resolución 831 de 07/06/2019 "Por la cual se adiciona y modifica parcialmente la Resolución 0880 de 07 de diciembre de 2016, se deroga algunas resoluciones" .</t>
  </si>
  <si>
    <t>Se modifica el formato de informe Mensual de Prestación de Servicios para dar cumplimiento a la resolución 1366 de 2020 "Por medio de la cual se adoptan los procesos del MIPG - SIG de la Unidad Nacional de Protección,  El Manual Institucional de Política de Servicio al Ciudadano, el Manual para la Formulación y Seguimiento de Planes, el Manual de Gestión de Indicadores, el Manual de Gestión Estratégica Integrada de Gestión de Riesgo y se derogan las Resoluciones Nos, 1820 de 2018 y 1565 del 2019".</t>
  </si>
  <si>
    <t>Se modifica el formato de informe Mensual de Prestación de Servicios para que el contratista informe si tiene o no más contratos suscritos en el periodo con otras entidades y de ser así se comprometa con el pago de los aportes a seguridad social correspondientes.</t>
  </si>
  <si>
    <t>Se ajusta texto Declaración del supervisor toda vez que se va a radicar con anterioridad la cuenta del mes de diciembre de 2025 por efectos del cierre de la vigencia.</t>
  </si>
  <si>
    <t>Se ajusta el espacio Declaración del supervisor puesto que no aplica para la radicación de la cuenta de 2026, fue inclusión para el mes de diciembre de 2025 por efectos del cierre de la vigencia.</t>
  </si>
  <si>
    <t>SI</t>
  </si>
  <si>
    <t>Me comprometo a realizar el pago de los aportes correspondientes a la seguridad social por cada uno de los contratos suscritos en concordancia con la Ley vigente. 
Adjunto formato de repote GCT-FT-32 Declaración juramentada -Relación de contratos de prestación de servicios vigentes con otras entidades estatales</t>
  </si>
  <si>
    <t>.</t>
  </si>
  <si>
    <t>http://intranet.unp.gov.co/SGI/Documents/GESTION%20CONTRACTUAL/14.FORMATOS/GCT-FT-32-V1Declaraci%C3%B3n%20Juramentada-%20Relaci%C3%B3n%20de%20Contratos%20de%20Prestaci%C3%B3n%20de%20Servicios%20Vigentes%20con%20otras%20Entidades%20Estatales.docx</t>
  </si>
  <si>
    <t xml:space="preserve"> INFORME MENSUAL DE PRESTACIÓN DE SERVICIOS</t>
  </si>
  <si>
    <t>UNIDAD NACIONAL DE PROTECCIÓN -UNP-</t>
  </si>
  <si>
    <t>CAMPO</t>
  </si>
  <si>
    <t>INFORMACIÓN QUE DEBE CONTENER</t>
  </si>
  <si>
    <t>NOMBRE DEL CONTRATISTA</t>
  </si>
  <si>
    <t>Corresponde al nombre de la persona que firmo el contrato.</t>
  </si>
  <si>
    <t>NÚMERO DEL CONTRATO</t>
  </si>
  <si>
    <t>Corresponde al número que se le asigna al contrato que forma el contratista.</t>
  </si>
  <si>
    <t xml:space="preserve">Corresponde a la fecha del  informe a ejecutar </t>
  </si>
  <si>
    <t xml:space="preserve"> Corresponde a las obligaciones pactadas en el contrato. </t>
  </si>
  <si>
    <t>ACTIVIDADES REALIZADAS</t>
  </si>
  <si>
    <t>Corresponde a la descripción de cada una de las tareas o actividades realizadas por el contratista.</t>
  </si>
  <si>
    <t>Corresponde a la evidencia soporte de las actividades relacionadas en las obligaciones contractuales (enlace virtual, página web, aplicativo, archivo físico…)</t>
  </si>
  <si>
    <t>VALOR INICIAL DEL CONTRATO</t>
  </si>
  <si>
    <t>Corresponde al valor que inicial de su contrato</t>
  </si>
  <si>
    <t>VALOR ADICIÓN AL CONTRATO</t>
  </si>
  <si>
    <t>Corresponde una adición en el valor de un contrato. En tal caso que no se presente adición, diligenciar en 0 esta fila.</t>
  </si>
  <si>
    <t>Corresponde a la suma del valor inicial del contrato, mas el valor que se adiciono al contrato.</t>
  </si>
  <si>
    <t>Corresponde a la parte porcentualmente que se esta ejecutando y se determina tomando el valor mensual sobre el valor total del contrato.</t>
  </si>
  <si>
    <t xml:space="preserve">Corresponde al valor  generado según el plan de pagos mensual.  </t>
  </si>
  <si>
    <t>Corresponde a la parte porcentualmente que se esta ejecutando y se va sumando los resultados de  los meses anteriormente  causados.</t>
  </si>
  <si>
    <t>Corresponde a la suma de los valores cancelado a la fecha.</t>
  </si>
  <si>
    <t>Corresponde a la diferencia que determina entre el valor total y los valores ya ejecutados y recibidos.</t>
  </si>
  <si>
    <t xml:space="preserve">DECLARACIÓN CONTRATOS </t>
  </si>
  <si>
    <t>Seleccione en la lista desplegable la opción SI o NO según corresponda, de ser SI debe diligenciar y anexar para el periodo correspondiente el formato indicado (siempre descargarlo desde la Intranet)</t>
  </si>
  <si>
    <t>FIRMA, NOMBRE NUMERO DE CÉDULA  DEL CONTRATISTA</t>
  </si>
  <si>
    <t>Corresponde a la aceptación de lo escrito en el  informe de supervisión y actividades del contratista.</t>
  </si>
  <si>
    <t>FECHA DEL INFORME</t>
  </si>
  <si>
    <t>Corresponde a la  fecha en que se elabora el informe.</t>
  </si>
  <si>
    <t>El supervisor declara que ha revisado el informe y la ejecución de las actividades ejecutadas en el periodo, dando constancia del cumplimiento de las actividades.</t>
  </si>
  <si>
    <t>SUPERVISOR</t>
  </si>
  <si>
    <t xml:space="preserve">Es la persona que garantiza que el trabajo se realizo en forma correcta y de acuerdo a los parámetros exigidos para su cumplimiento;  se debe registrar el nombre completo,  el numero de la cedula y firmar. </t>
  </si>
  <si>
    <t>Es la persona que realiza la verificación de requisitos( pago de seguridad social, formato diligenciados) y de mas documentos necesarios de acuerdo a los parámetros exigidos para su cumplimiento, se debe registrar nombre completo, el numero de cedula</t>
  </si>
  <si>
    <t>ARCHIVESE EN</t>
  </si>
  <si>
    <t>Diligencie la ruta de disposición final (almacenamiento) del documento ya sea físico o Digital cumpliendo los  lineamientos y directrices establecidos por Gestión Documental.</t>
  </si>
  <si>
    <t>Se tomaron los requerimientos del Grupo de Control de Dezplazamientos Esquemas protectivos (GCEDP), modificando el llenado automatico de los formatos de solicitud de desplazamientos y se avanza con creacion de bases para el aplicativo PD-RI para registrar toda la informacion necesaria.</t>
  </si>
  <si>
    <t>Se ajusto la logica de los endpoints creados en el mes de enero, borrando un endpoint el cual se decomisiono, haciendo cambios de logica y optimizacion en el mapeo de PDF y cambios de informacion mostrada para los endpoints de los gestores, a su vez se avanza con la pantalla de registro de incidentes/novedades de medidas de proteccion en el aplicativo DP-RI</t>
  </si>
  <si>
    <t>Se realizaron múltiples tests, actualizaciones (commits), y nuevos desarrollos en el aplicativo en desarrollo asp-sp para complementar las funciones de gestión de desplazamientos y se avanza en el desarrollo de la pantalla para registro de nvoedades en el aplicativo DP-RI</t>
  </si>
  <si>
    <t>https://github.com/EcosistemaUNP/bk-sp-asp/commits/JCalixto-dev, Enlace del arbol de aplicaciones de la Subdirección: https://apps.powerapps.com/play/e/default-58ec5e61-0ed7-4021-a4f8-c2e2b3b9f5ff/a/9f47d67b-a14a-449a-9e20-5fba6e6e51c3?tenantId=58ec5e61-0ed7-4021-a4f8-c2e2b3b9f5ff&amp;sourcetime=1757003904953</t>
  </si>
  <si>
    <t>Se realizaron desarrollos de lógica y automatización para múltiples validaciones, procesos que actualmente se realizan de forma manual, y procedimientos para el GCEDP utilizando lenguaje de programación python y framework Django creando serializadores, endpoints y modelos, tambien se avanza en el desarrollo de nueva pantalla en el aplicativo DP-RI</t>
  </si>
  <si>
    <t>Se realizó limpieza de la base de datos del aplicativo sp-asp realizando migraciones en el ambiente de desarrollo y actualización de todas las tablas de desplazamientos, y se identifican centros poblados faltantes en la base de GRPDP existente</t>
  </si>
  <si>
    <t>Se participó en reunión y capacitación sobre los aplicativos de GRPDP y GRVP, con el fin de conocer mas a profundidad el uso y funcionamiento de las herramientas y sus tablas para su posterior mantenimiento, uso y desarrollo.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</si>
</sst>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240A]\ #,##0"/>
    <numFmt numFmtId="166" formatCode="[$$-240A]\ #,##0.00"/>
    <numFmt numFmtId="167" formatCode="[$-240A]d&quot; de &quot;mmmm&quot; de &quot;yyyy;@"/>
  </numFmts>
  <fonts count="24" x14ac:knownFonts="1">
    <font>
      <sz val="11"/>
      <color theme="1"/>
      <name val="Calibri"/>
      <family val="2"/>
      <scheme val="minor"/>
    </font>
    <font>
      <sz val="11"/>
      <color theme="1"/>
      <name val="Calibri"/>
      <family val="2"/>
      <scheme val="minor"/>
    </font>
    <font>
      <sz val="10"/>
      <name val="Arial"/>
      <family val="2"/>
    </font>
    <font>
      <sz val="11"/>
      <color theme="1"/>
      <name val="Myanmar Text"/>
      <family val="2"/>
    </font>
    <font>
      <sz val="10"/>
      <name val="Myanmar Text"/>
      <family val="2"/>
    </font>
    <font>
      <sz val="10"/>
      <color theme="1"/>
      <name val="Myanmar Text"/>
      <family val="2"/>
    </font>
    <font>
      <b/>
      <sz val="10"/>
      <name val="Arial"/>
      <family val="2"/>
    </font>
    <font>
      <b/>
      <sz val="12"/>
      <name val="Arial"/>
      <family val="2"/>
    </font>
    <font>
      <b/>
      <sz val="10"/>
      <color theme="1"/>
      <name val="Arial"/>
      <family val="2"/>
    </font>
    <font>
      <sz val="10"/>
      <color theme="1"/>
      <name val="Arial"/>
      <family val="2"/>
    </font>
    <font>
      <sz val="10"/>
      <color indexed="8"/>
      <name val="Arial"/>
      <family val="2"/>
    </font>
    <font>
      <sz val="11"/>
      <color theme="1"/>
      <name val="Arial"/>
      <family val="2"/>
    </font>
    <font>
      <sz val="11"/>
      <color theme="0"/>
      <name val="Myanmar Text"/>
      <family val="2"/>
    </font>
    <font>
      <u/>
      <sz val="11"/>
      <color theme="10"/>
      <name val="Calibri"/>
      <family val="2"/>
      <scheme val="minor"/>
    </font>
    <font>
      <sz val="11"/>
      <name val="Myanmar Text"/>
      <family val="2"/>
    </font>
    <font>
      <b/>
      <sz val="10"/>
      <color theme="0" tint="-0.499984740745262"/>
      <name val="Arial"/>
      <family val="2"/>
    </font>
    <font>
      <b/>
      <i/>
      <sz val="10"/>
      <name val="Arial"/>
      <family val="2"/>
    </font>
    <font>
      <sz val="10"/>
      <color theme="0" tint="-0.499984740745262"/>
      <name val="Myanmar Text"/>
      <family val="2"/>
    </font>
    <font>
      <b/>
      <sz val="10"/>
      <name val="Myanmar Text"/>
      <family val="2"/>
    </font>
    <font>
      <u/>
      <sz val="11"/>
      <color theme="1"/>
      <name val="Myanmar Text"/>
      <family val="2"/>
    </font>
    <font>
      <b/>
      <sz val="9"/>
      <name val="Arial"/>
      <family val="2"/>
    </font>
    <font>
      <b/>
      <sz val="11"/>
      <name val="Arial"/>
      <family val="2"/>
    </font>
    <font>
      <sz val="10"/>
      <color rgb="FF000000"/>
      <name val="Arial"/>
      <family val="2"/>
    </font>
    <font>
      <sz val="11"/>
      <color theme="10"/>
      <name val="Calibri"/>
      <family val="2"/>
      <scheme val="minor"/>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B73B8B"/>
        <bgColor indexed="64"/>
      </patternFill>
    </fill>
    <fill>
      <patternFill patternType="solid">
        <fgColor rgb="FFFFFF00"/>
        <bgColor indexed="64"/>
      </patternFill>
    </fill>
  </fills>
  <borders count="5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rgb="FF000000"/>
      </right>
      <top style="medium">
        <color indexed="64"/>
      </top>
      <bottom style="thin">
        <color indexed="64"/>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2" fillId="0" borderId="0"/>
    <xf numFmtId="0" fontId="13" fillId="0" borderId="0" applyNumberFormat="0" applyFill="0" applyBorder="0" applyAlignment="0" applyProtection="0"/>
  </cellStyleXfs>
  <cellXfs count="255">
    <xf numFmtId="0" fontId="0" fillId="0" borderId="0" xfId="0"/>
    <xf numFmtId="0" fontId="3" fillId="0" borderId="0" xfId="0" applyFont="1" applyAlignment="1">
      <alignment vertical="center"/>
    </xf>
    <xf numFmtId="0" fontId="3" fillId="0" borderId="0" xfId="0" applyFont="1"/>
    <xf numFmtId="0" fontId="5" fillId="0" borderId="0" xfId="0" applyFont="1"/>
    <xf numFmtId="0" fontId="11" fillId="0" borderId="0" xfId="0" applyFont="1"/>
    <xf numFmtId="0" fontId="8" fillId="4" borderId="30" xfId="0" applyFont="1" applyFill="1" applyBorder="1" applyAlignment="1">
      <alignment horizontal="center" vertical="center"/>
    </xf>
    <xf numFmtId="0" fontId="8" fillId="4" borderId="31" xfId="0" applyFont="1" applyFill="1" applyBorder="1" applyAlignment="1">
      <alignment horizontal="center" vertical="center"/>
    </xf>
    <xf numFmtId="14" fontId="9" fillId="2" borderId="21" xfId="0" applyNumberFormat="1" applyFont="1" applyFill="1" applyBorder="1" applyAlignment="1">
      <alignment horizontal="center" vertical="center" wrapText="1"/>
    </xf>
    <xf numFmtId="1" fontId="9" fillId="2" borderId="21" xfId="0" applyNumberFormat="1" applyFont="1" applyFill="1" applyBorder="1" applyAlignment="1">
      <alignment horizontal="center" vertical="center" wrapText="1"/>
    </xf>
    <xf numFmtId="0" fontId="2" fillId="2" borderId="6" xfId="0" applyFont="1" applyFill="1" applyBorder="1" applyAlignment="1" applyProtection="1">
      <alignment horizontal="center" vertical="center" wrapText="1"/>
      <protection locked="0"/>
    </xf>
    <xf numFmtId="0" fontId="2" fillId="4" borderId="0" xfId="0" applyFont="1" applyFill="1" applyAlignment="1" applyProtection="1">
      <alignment vertical="center"/>
      <protection locked="0"/>
    </xf>
    <xf numFmtId="0" fontId="2" fillId="2" borderId="5" xfId="0" applyFont="1" applyFill="1" applyBorder="1" applyAlignment="1" applyProtection="1">
      <alignment horizontal="center" vertical="center" wrapText="1"/>
      <protection locked="0"/>
    </xf>
    <xf numFmtId="0" fontId="2" fillId="2" borderId="7" xfId="0" applyFont="1" applyFill="1" applyBorder="1" applyAlignment="1" applyProtection="1">
      <alignment horizontal="center" vertical="center" wrapText="1"/>
      <protection locked="0"/>
    </xf>
    <xf numFmtId="0" fontId="9" fillId="0" borderId="0" xfId="0" applyFont="1"/>
    <xf numFmtId="0" fontId="2" fillId="4" borderId="45" xfId="0" applyFont="1" applyFill="1" applyBorder="1" applyAlignment="1" applyProtection="1">
      <alignment vertical="center"/>
      <protection locked="0"/>
    </xf>
    <xf numFmtId="0" fontId="9" fillId="0" borderId="54" xfId="0" applyFont="1" applyBorder="1" applyAlignment="1">
      <alignment vertical="center" wrapText="1"/>
    </xf>
    <xf numFmtId="0" fontId="2" fillId="3" borderId="52" xfId="0" applyFont="1" applyFill="1" applyBorder="1" applyAlignment="1" applyProtection="1">
      <alignment horizontal="justify" vertical="justify" wrapText="1"/>
      <protection locked="0"/>
    </xf>
    <xf numFmtId="0" fontId="2" fillId="3" borderId="53" xfId="0" applyFont="1" applyFill="1" applyBorder="1" applyAlignment="1" applyProtection="1">
      <alignment horizontal="justify" vertical="justify" wrapText="1"/>
      <protection locked="0"/>
    </xf>
    <xf numFmtId="0" fontId="2" fillId="3" borderId="54" xfId="0" applyFont="1" applyFill="1" applyBorder="1" applyAlignment="1" applyProtection="1">
      <alignment horizontal="justify" vertical="justify" wrapText="1"/>
      <protection locked="0"/>
    </xf>
    <xf numFmtId="0" fontId="8" fillId="4" borderId="43" xfId="0" applyFont="1" applyFill="1" applyBorder="1" applyAlignment="1" applyProtection="1">
      <alignment horizontal="center" vertical="center" wrapText="1"/>
      <protection locked="0"/>
    </xf>
    <xf numFmtId="0" fontId="9" fillId="4" borderId="43" xfId="0" applyFont="1" applyFill="1" applyBorder="1" applyAlignment="1" applyProtection="1">
      <alignment horizontal="left" vertical="center"/>
      <protection locked="0"/>
    </xf>
    <xf numFmtId="0" fontId="8" fillId="4" borderId="44" xfId="0" applyFont="1" applyFill="1" applyBorder="1" applyAlignment="1" applyProtection="1">
      <alignment horizontal="center" vertical="center" wrapText="1"/>
      <protection locked="0"/>
    </xf>
    <xf numFmtId="0" fontId="6" fillId="4" borderId="51" xfId="0" applyFont="1" applyFill="1" applyBorder="1" applyAlignment="1" applyProtection="1">
      <alignment horizontal="center" vertical="center"/>
      <protection locked="0"/>
    </xf>
    <xf numFmtId="49" fontId="2" fillId="4" borderId="0" xfId="0" applyNumberFormat="1" applyFont="1" applyFill="1" applyAlignment="1" applyProtection="1">
      <alignment vertical="center"/>
      <protection locked="0"/>
    </xf>
    <xf numFmtId="0" fontId="2" fillId="2" borderId="45" xfId="0" applyFont="1" applyFill="1" applyBorder="1" applyAlignment="1" applyProtection="1">
      <alignment horizontal="center" vertical="center" wrapText="1"/>
      <protection locked="0"/>
    </xf>
    <xf numFmtId="0" fontId="2" fillId="2" borderId="43" xfId="0" applyFont="1" applyFill="1" applyBorder="1" applyAlignment="1" applyProtection="1">
      <alignment horizontal="center" vertical="center" wrapText="1"/>
      <protection locked="0"/>
    </xf>
    <xf numFmtId="0" fontId="2" fillId="2" borderId="44" xfId="0" applyFont="1" applyFill="1" applyBorder="1" applyAlignment="1" applyProtection="1">
      <alignment horizontal="center" vertical="center" wrapText="1"/>
      <protection locked="0"/>
    </xf>
    <xf numFmtId="0" fontId="2" fillId="4" borderId="19" xfId="0" applyFont="1" applyFill="1" applyBorder="1" applyAlignment="1" applyProtection="1">
      <alignment vertical="center"/>
      <protection locked="0"/>
    </xf>
    <xf numFmtId="0" fontId="2" fillId="4" borderId="50" xfId="0" applyFont="1" applyFill="1" applyBorder="1" applyAlignment="1" applyProtection="1">
      <alignment vertical="center"/>
      <protection locked="0"/>
    </xf>
    <xf numFmtId="0" fontId="9" fillId="6" borderId="0" xfId="0" applyFont="1" applyFill="1"/>
    <xf numFmtId="0" fontId="3" fillId="6" borderId="0" xfId="0" applyFont="1" applyFill="1"/>
    <xf numFmtId="0" fontId="12" fillId="6" borderId="0" xfId="0" applyFont="1" applyFill="1"/>
    <xf numFmtId="0" fontId="13" fillId="6" borderId="0" xfId="4" applyFill="1"/>
    <xf numFmtId="49" fontId="8" fillId="4" borderId="43" xfId="0" applyNumberFormat="1" applyFont="1" applyFill="1" applyBorder="1" applyAlignment="1">
      <alignment horizontal="left" vertical="center"/>
    </xf>
    <xf numFmtId="0" fontId="17" fillId="4" borderId="23" xfId="0" applyFont="1" applyFill="1" applyBorder="1" applyAlignment="1" applyProtection="1">
      <alignment vertical="center" wrapText="1"/>
      <protection locked="0"/>
    </xf>
    <xf numFmtId="0" fontId="17" fillId="4" borderId="24" xfId="0" applyFont="1" applyFill="1" applyBorder="1" applyAlignment="1" applyProtection="1">
      <alignment vertical="center" wrapText="1"/>
      <protection locked="0"/>
    </xf>
    <xf numFmtId="0" fontId="2" fillId="0" borderId="21" xfId="0" applyFont="1" applyBorder="1" applyAlignment="1" applyProtection="1">
      <alignment vertical="center" wrapText="1"/>
      <protection locked="0"/>
    </xf>
    <xf numFmtId="0" fontId="2" fillId="0" borderId="21" xfId="0" applyFont="1" applyBorder="1" applyAlignment="1" applyProtection="1">
      <alignment horizontal="left" vertical="center" wrapText="1"/>
      <protection locked="0"/>
    </xf>
    <xf numFmtId="0" fontId="2" fillId="0" borderId="37" xfId="0" applyFont="1" applyBorder="1" applyAlignment="1" applyProtection="1">
      <alignment vertical="center" wrapText="1"/>
      <protection locked="0"/>
    </xf>
    <xf numFmtId="0" fontId="2" fillId="0" borderId="1" xfId="0" applyFont="1" applyBorder="1" applyAlignment="1" applyProtection="1">
      <alignment vertical="center" wrapText="1"/>
      <protection locked="0"/>
    </xf>
    <xf numFmtId="0" fontId="2" fillId="0" borderId="1" xfId="0" applyFont="1" applyBorder="1" applyAlignment="1" applyProtection="1">
      <alignment horizontal="left" vertical="center" wrapText="1"/>
      <protection locked="0"/>
    </xf>
    <xf numFmtId="0" fontId="19" fillId="0" borderId="0" xfId="0" applyFont="1"/>
    <xf numFmtId="0" fontId="20" fillId="0" borderId="39" xfId="0" applyFont="1" applyBorder="1" applyAlignment="1" applyProtection="1">
      <alignment wrapText="1"/>
      <protection locked="0"/>
    </xf>
    <xf numFmtId="0" fontId="21" fillId="0" borderId="39" xfId="0" applyFont="1" applyBorder="1" applyAlignment="1" applyProtection="1">
      <alignment horizontal="center" wrapText="1"/>
      <protection locked="0"/>
    </xf>
    <xf numFmtId="0" fontId="21" fillId="0" borderId="39" xfId="0" applyFont="1" applyBorder="1" applyAlignment="1" applyProtection="1">
      <alignment wrapText="1"/>
      <protection locked="0"/>
    </xf>
    <xf numFmtId="0" fontId="2" fillId="2" borderId="14" xfId="0" applyFont="1" applyFill="1" applyBorder="1" applyAlignment="1" applyProtection="1">
      <alignment horizontal="center" vertical="center" wrapText="1"/>
      <protection locked="0"/>
    </xf>
    <xf numFmtId="0" fontId="2" fillId="2" borderId="4" xfId="0" applyFont="1" applyFill="1" applyBorder="1" applyAlignment="1" applyProtection="1">
      <alignment horizontal="center" vertical="center" wrapText="1"/>
      <protection locked="0"/>
    </xf>
    <xf numFmtId="0" fontId="2" fillId="2" borderId="1" xfId="0" applyFont="1" applyFill="1" applyBorder="1" applyAlignment="1" applyProtection="1">
      <alignment horizontal="center" vertical="center" wrapText="1"/>
      <protection locked="0"/>
    </xf>
    <xf numFmtId="0" fontId="9" fillId="0" borderId="52" xfId="0" applyFont="1" applyBorder="1" applyAlignment="1">
      <alignment horizontal="left" vertical="top" wrapText="1"/>
    </xf>
    <xf numFmtId="0" fontId="9" fillId="0" borderId="53" xfId="0" applyFont="1" applyBorder="1" applyAlignment="1">
      <alignment horizontal="left" vertical="top" wrapText="1"/>
    </xf>
    <xf numFmtId="10" fontId="6" fillId="4" borderId="2" xfId="2" applyNumberFormat="1" applyFont="1" applyFill="1" applyBorder="1" applyAlignment="1" applyProtection="1">
      <alignment horizontal="right" vertical="center" wrapText="1"/>
      <protection locked="0"/>
    </xf>
    <xf numFmtId="10" fontId="6" fillId="4" borderId="3" xfId="2" applyNumberFormat="1" applyFont="1" applyFill="1" applyBorder="1" applyAlignment="1" applyProtection="1">
      <alignment horizontal="right" vertical="center" wrapText="1"/>
      <protection locked="0"/>
    </xf>
    <xf numFmtId="10" fontId="6" fillId="4" borderId="40" xfId="2" applyNumberFormat="1" applyFont="1" applyFill="1" applyBorder="1" applyAlignment="1" applyProtection="1">
      <alignment horizontal="right" vertical="center" wrapText="1"/>
      <protection locked="0"/>
    </xf>
    <xf numFmtId="165" fontId="6" fillId="4" borderId="2" xfId="2" applyNumberFormat="1" applyFont="1" applyFill="1" applyBorder="1" applyAlignment="1" applyProtection="1">
      <alignment horizontal="right" vertical="center" wrapText="1"/>
      <protection locked="0"/>
    </xf>
    <xf numFmtId="165" fontId="6" fillId="4" borderId="3" xfId="2" applyNumberFormat="1" applyFont="1" applyFill="1" applyBorder="1" applyAlignment="1" applyProtection="1">
      <alignment horizontal="right" vertical="center" wrapText="1"/>
      <protection locked="0"/>
    </xf>
    <xf numFmtId="165" fontId="6" fillId="4" borderId="40" xfId="2" applyNumberFormat="1" applyFont="1" applyFill="1" applyBorder="1" applyAlignment="1" applyProtection="1">
      <alignment horizontal="right" vertical="center" wrapText="1"/>
      <protection locked="0"/>
    </xf>
    <xf numFmtId="0" fontId="2" fillId="0" borderId="22" xfId="0" applyFont="1" applyBorder="1" applyAlignment="1" applyProtection="1">
      <alignment horizontal="center" vertical="center" wrapText="1"/>
      <protection locked="0"/>
    </xf>
    <xf numFmtId="0" fontId="2" fillId="0" borderId="0" xfId="0" applyFont="1" applyAlignment="1" applyProtection="1">
      <alignment horizontal="center" vertical="center" wrapText="1"/>
      <protection locked="0"/>
    </xf>
    <xf numFmtId="0" fontId="8" fillId="4" borderId="23" xfId="0" applyFont="1" applyFill="1" applyBorder="1" applyAlignment="1" applyProtection="1">
      <alignment horizontal="center" vertical="center" wrapText="1"/>
      <protection locked="0"/>
    </xf>
    <xf numFmtId="0" fontId="8" fillId="4" borderId="27" xfId="0" applyFont="1" applyFill="1" applyBorder="1" applyAlignment="1" applyProtection="1">
      <alignment horizontal="center" vertical="center" wrapText="1"/>
      <protection locked="0"/>
    </xf>
    <xf numFmtId="0" fontId="6" fillId="2" borderId="55" xfId="0" applyFont="1" applyFill="1" applyBorder="1" applyAlignment="1" applyProtection="1">
      <alignment horizontal="center" vertical="center" wrapText="1"/>
      <protection locked="0"/>
    </xf>
    <xf numFmtId="0" fontId="6" fillId="2" borderId="34" xfId="0" applyFont="1" applyFill="1" applyBorder="1" applyAlignment="1" applyProtection="1">
      <alignment horizontal="center" vertical="center" wrapText="1"/>
      <protection locked="0"/>
    </xf>
    <xf numFmtId="0" fontId="6" fillId="2" borderId="16" xfId="0" applyFont="1" applyFill="1" applyBorder="1" applyAlignment="1" applyProtection="1">
      <alignment horizontal="center" vertical="center" wrapText="1"/>
      <protection locked="0"/>
    </xf>
    <xf numFmtId="0" fontId="6" fillId="2" borderId="4" xfId="0" applyFont="1" applyFill="1" applyBorder="1" applyAlignment="1" applyProtection="1">
      <alignment horizontal="center" vertical="center" wrapText="1"/>
      <protection locked="0"/>
    </xf>
    <xf numFmtId="0" fontId="2" fillId="2" borderId="16" xfId="0" applyFont="1" applyFill="1" applyBorder="1" applyAlignment="1" applyProtection="1">
      <alignment horizontal="center" vertical="center" wrapText="1"/>
      <protection locked="0"/>
    </xf>
    <xf numFmtId="0" fontId="2" fillId="2" borderId="3" xfId="0" applyFont="1" applyFill="1" applyBorder="1" applyAlignment="1" applyProtection="1">
      <alignment horizontal="center" vertical="center" wrapText="1"/>
      <protection locked="0"/>
    </xf>
    <xf numFmtId="165" fontId="6" fillId="0" borderId="2" xfId="1" applyNumberFormat="1" applyFont="1" applyFill="1" applyBorder="1" applyAlignment="1" applyProtection="1">
      <alignment horizontal="right" vertical="center" wrapText="1"/>
      <protection locked="0"/>
    </xf>
    <xf numFmtId="165" fontId="6" fillId="0" borderId="3" xfId="1" applyNumberFormat="1" applyFont="1" applyFill="1" applyBorder="1" applyAlignment="1" applyProtection="1">
      <alignment horizontal="right" vertical="center" wrapText="1"/>
      <protection locked="0"/>
    </xf>
    <xf numFmtId="165" fontId="6" fillId="0" borderId="40" xfId="1" applyNumberFormat="1" applyFont="1" applyFill="1" applyBorder="1" applyAlignment="1" applyProtection="1">
      <alignment horizontal="right" vertical="center" wrapText="1"/>
      <protection locked="0"/>
    </xf>
    <xf numFmtId="0" fontId="17" fillId="4" borderId="24" xfId="0" applyFont="1" applyFill="1" applyBorder="1" applyAlignment="1" applyProtection="1">
      <alignment horizontal="center" vertical="center" wrapText="1"/>
      <protection locked="0"/>
    </xf>
    <xf numFmtId="0" fontId="17" fillId="4" borderId="25" xfId="0" applyFont="1" applyFill="1" applyBorder="1" applyAlignment="1" applyProtection="1">
      <alignment horizontal="center" vertical="center" wrapText="1"/>
      <protection locked="0"/>
    </xf>
    <xf numFmtId="0" fontId="9" fillId="0" borderId="2" xfId="0" applyFont="1" applyBorder="1" applyAlignment="1">
      <alignment horizontal="center" vertical="center" wrapText="1"/>
    </xf>
    <xf numFmtId="0" fontId="9" fillId="0" borderId="3" xfId="0" applyFont="1" applyBorder="1" applyAlignment="1">
      <alignment horizontal="center" vertical="center" wrapText="1"/>
    </xf>
    <xf numFmtId="0" fontId="9" fillId="0" borderId="4" xfId="0" applyFont="1" applyBorder="1" applyAlignment="1">
      <alignment horizontal="center" vertical="center" wrapText="1"/>
    </xf>
    <xf numFmtId="0" fontId="2" fillId="0" borderId="9" xfId="0" applyFont="1" applyBorder="1" applyAlignment="1" applyProtection="1">
      <alignment horizontal="left" vertical="top" wrapText="1"/>
      <protection locked="0"/>
    </xf>
    <xf numFmtId="0" fontId="13" fillId="0" borderId="1" xfId="4" applyBorder="1" applyAlignment="1">
      <alignment horizontal="center" vertical="center" wrapText="1"/>
    </xf>
    <xf numFmtId="0" fontId="9" fillId="0" borderId="39" xfId="0" applyFont="1" applyBorder="1" applyAlignment="1">
      <alignment horizontal="center" vertical="center" wrapText="1"/>
    </xf>
    <xf numFmtId="0" fontId="6" fillId="2" borderId="56" xfId="0" applyFont="1" applyFill="1" applyBorder="1" applyAlignment="1" applyProtection="1">
      <alignment horizontal="center" vertical="center" wrapText="1"/>
      <protection locked="0"/>
    </xf>
    <xf numFmtId="0" fontId="6" fillId="2" borderId="48" xfId="0" applyFont="1" applyFill="1" applyBorder="1" applyAlignment="1" applyProtection="1">
      <alignment horizontal="center" vertical="center" wrapText="1"/>
      <protection locked="0"/>
    </xf>
    <xf numFmtId="49" fontId="2" fillId="0" borderId="1" xfId="0" applyNumberFormat="1" applyFont="1" applyBorder="1" applyAlignment="1" applyProtection="1">
      <alignment horizontal="justify" vertical="top" wrapText="1"/>
      <protection locked="0"/>
    </xf>
    <xf numFmtId="0" fontId="2" fillId="0" borderId="5" xfId="0" applyFont="1" applyBorder="1" applyAlignment="1" applyProtection="1">
      <alignment horizontal="center" vertical="center" wrapText="1"/>
      <protection locked="0"/>
    </xf>
    <xf numFmtId="0" fontId="2" fillId="0" borderId="6" xfId="0" applyFont="1" applyBorder="1" applyAlignment="1" applyProtection="1">
      <alignment horizontal="center" vertical="center" wrapText="1"/>
      <protection locked="0"/>
    </xf>
    <xf numFmtId="0" fontId="2" fillId="0" borderId="1" xfId="0" applyFont="1" applyBorder="1" applyAlignment="1" applyProtection="1">
      <alignment horizontal="justify" vertical="top" wrapText="1"/>
      <protection locked="0"/>
    </xf>
    <xf numFmtId="0" fontId="2" fillId="0" borderId="1" xfId="0" applyFont="1" applyBorder="1" applyAlignment="1" applyProtection="1">
      <alignment horizontal="left" vertical="top" wrapText="1"/>
      <protection locked="0"/>
    </xf>
    <xf numFmtId="0" fontId="2" fillId="0" borderId="2" xfId="0" applyFont="1" applyBorder="1" applyAlignment="1" applyProtection="1">
      <alignment horizontal="center" vertical="top" wrapText="1"/>
      <protection locked="0"/>
    </xf>
    <xf numFmtId="0" fontId="2" fillId="0" borderId="3" xfId="0" applyFont="1" applyBorder="1" applyAlignment="1" applyProtection="1">
      <alignment horizontal="center" vertical="top" wrapText="1"/>
      <protection locked="0"/>
    </xf>
    <xf numFmtId="0" fontId="2" fillId="0" borderId="4" xfId="0" applyFont="1" applyBorder="1" applyAlignment="1" applyProtection="1">
      <alignment horizontal="center" vertical="top" wrapText="1"/>
      <protection locked="0"/>
    </xf>
    <xf numFmtId="0" fontId="2" fillId="0" borderId="2" xfId="0" applyFont="1" applyBorder="1" applyAlignment="1" applyProtection="1">
      <alignment horizontal="left" vertical="top" wrapText="1"/>
      <protection locked="0"/>
    </xf>
    <xf numFmtId="0" fontId="2" fillId="0" borderId="3" xfId="0" applyFont="1" applyBorder="1" applyAlignment="1" applyProtection="1">
      <alignment horizontal="left" vertical="top" wrapText="1"/>
      <protection locked="0"/>
    </xf>
    <xf numFmtId="0" fontId="2" fillId="0" borderId="4" xfId="0" applyFont="1" applyBorder="1" applyAlignment="1" applyProtection="1">
      <alignment horizontal="left" vertical="top" wrapText="1"/>
      <protection locked="0"/>
    </xf>
    <xf numFmtId="0" fontId="6" fillId="3" borderId="16" xfId="0" applyFont="1" applyFill="1" applyBorder="1" applyAlignment="1" applyProtection="1">
      <alignment horizontal="center" vertical="center" wrapText="1"/>
      <protection locked="0"/>
    </xf>
    <xf numFmtId="0" fontId="6" fillId="3" borderId="3" xfId="0" applyFont="1" applyFill="1" applyBorder="1" applyAlignment="1" applyProtection="1">
      <alignment horizontal="center" vertical="center" wrapText="1"/>
      <protection locked="0"/>
    </xf>
    <xf numFmtId="0" fontId="6" fillId="3" borderId="4" xfId="0" applyFont="1" applyFill="1" applyBorder="1" applyAlignment="1" applyProtection="1">
      <alignment horizontal="center" vertical="center" wrapText="1"/>
      <protection locked="0"/>
    </xf>
    <xf numFmtId="166" fontId="2" fillId="3" borderId="2" xfId="1" applyNumberFormat="1" applyFont="1" applyFill="1" applyBorder="1" applyAlignment="1" applyProtection="1">
      <alignment horizontal="right" vertical="center" wrapText="1"/>
      <protection locked="0"/>
    </xf>
    <xf numFmtId="166" fontId="2" fillId="3" borderId="3" xfId="1" applyNumberFormat="1" applyFont="1" applyFill="1" applyBorder="1" applyAlignment="1" applyProtection="1">
      <alignment horizontal="right" vertical="center" wrapText="1"/>
      <protection locked="0"/>
    </xf>
    <xf numFmtId="166" fontId="2" fillId="3" borderId="40" xfId="1" applyNumberFormat="1" applyFont="1" applyFill="1" applyBorder="1" applyAlignment="1" applyProtection="1">
      <alignment horizontal="right" vertical="center" wrapText="1"/>
      <protection locked="0"/>
    </xf>
    <xf numFmtId="0" fontId="13" fillId="0" borderId="2" xfId="4" applyBorder="1" applyAlignment="1">
      <alignment horizontal="center" wrapText="1"/>
    </xf>
    <xf numFmtId="0" fontId="13" fillId="0" borderId="40" xfId="4" applyBorder="1" applyAlignment="1">
      <alignment horizontal="center" wrapText="1"/>
    </xf>
    <xf numFmtId="0" fontId="13" fillId="0" borderId="2" xfId="4" applyBorder="1" applyAlignment="1">
      <alignment horizontal="center" vertical="center" wrapText="1"/>
    </xf>
    <xf numFmtId="0" fontId="13" fillId="0" borderId="4" xfId="4" applyBorder="1" applyAlignment="1">
      <alignment horizontal="center" vertical="center" wrapText="1"/>
    </xf>
    <xf numFmtId="0" fontId="22" fillId="0" borderId="2" xfId="0" applyFont="1" applyBorder="1" applyAlignment="1">
      <alignment horizontal="center" vertical="center" wrapText="1"/>
    </xf>
    <xf numFmtId="0" fontId="22" fillId="0" borderId="3" xfId="0" applyFont="1" applyBorder="1" applyAlignment="1">
      <alignment horizontal="center" vertical="center" wrapText="1"/>
    </xf>
    <xf numFmtId="0" fontId="22" fillId="0" borderId="4" xfId="0" applyFont="1" applyBorder="1" applyAlignment="1">
      <alignment horizontal="center" vertical="center" wrapText="1"/>
    </xf>
    <xf numFmtId="0" fontId="13" fillId="0" borderId="21" xfId="4" applyBorder="1" applyAlignment="1">
      <alignment horizontal="center" vertical="center" wrapText="1"/>
    </xf>
    <xf numFmtId="0" fontId="13" fillId="0" borderId="40" xfId="4" applyBorder="1" applyAlignment="1">
      <alignment horizontal="center" vertical="center" wrapText="1"/>
    </xf>
    <xf numFmtId="0" fontId="2" fillId="0" borderId="21" xfId="0" applyFont="1" applyBorder="1" applyAlignment="1" applyProtection="1">
      <alignment horizontal="center" wrapText="1"/>
      <protection locked="0"/>
    </xf>
    <xf numFmtId="0" fontId="2" fillId="0" borderId="37" xfId="0" applyFont="1" applyBorder="1" applyAlignment="1" applyProtection="1">
      <alignment horizontal="center" wrapText="1"/>
      <protection locked="0"/>
    </xf>
    <xf numFmtId="0" fontId="2" fillId="0" borderId="1" xfId="0" applyFont="1" applyBorder="1" applyAlignment="1">
      <alignment horizontal="center" vertical="center" wrapText="1"/>
    </xf>
    <xf numFmtId="0" fontId="2" fillId="0" borderId="39" xfId="0" applyFont="1" applyBorder="1" applyAlignment="1">
      <alignment horizontal="center" vertical="center" wrapText="1"/>
    </xf>
    <xf numFmtId="49" fontId="6" fillId="0" borderId="9" xfId="0" applyNumberFormat="1" applyFont="1" applyBorder="1" applyAlignment="1" applyProtection="1">
      <alignment horizontal="center" vertical="center" wrapText="1"/>
      <protection locked="0"/>
    </xf>
    <xf numFmtId="49" fontId="6" fillId="0" borderId="38" xfId="0" applyNumberFormat="1" applyFont="1" applyBorder="1" applyAlignment="1" applyProtection="1">
      <alignment horizontal="center" vertical="center" wrapText="1"/>
      <protection locked="0"/>
    </xf>
    <xf numFmtId="0" fontId="6" fillId="4" borderId="29" xfId="0" applyFont="1" applyFill="1" applyBorder="1" applyAlignment="1" applyProtection="1">
      <alignment horizontal="center" vertical="center" wrapText="1"/>
      <protection locked="0"/>
    </xf>
    <xf numFmtId="0" fontId="6" fillId="4" borderId="24" xfId="0" applyFont="1" applyFill="1" applyBorder="1" applyAlignment="1" applyProtection="1">
      <alignment horizontal="center" vertical="center" wrapText="1"/>
      <protection locked="0"/>
    </xf>
    <xf numFmtId="0" fontId="6" fillId="3" borderId="23" xfId="0" applyFont="1" applyFill="1" applyBorder="1" applyAlignment="1" applyProtection="1">
      <alignment horizontal="center" vertical="center" wrapText="1"/>
      <protection locked="0"/>
    </xf>
    <xf numFmtId="0" fontId="6" fillId="3" borderId="24" xfId="0" applyFont="1" applyFill="1" applyBorder="1" applyAlignment="1" applyProtection="1">
      <alignment horizontal="center" vertical="center" wrapText="1"/>
      <protection locked="0"/>
    </xf>
    <xf numFmtId="0" fontId="6" fillId="3" borderId="25" xfId="0" applyFont="1" applyFill="1" applyBorder="1" applyAlignment="1" applyProtection="1">
      <alignment horizontal="center" vertical="center" wrapText="1"/>
      <protection locked="0"/>
    </xf>
    <xf numFmtId="0" fontId="13" fillId="0" borderId="32" xfId="4" applyBorder="1" applyAlignment="1">
      <alignment horizontal="center" vertical="center" wrapText="1"/>
    </xf>
    <xf numFmtId="0" fontId="13" fillId="0" borderId="34" xfId="4" applyBorder="1" applyAlignment="1">
      <alignment horizontal="center" vertical="center" wrapText="1"/>
    </xf>
    <xf numFmtId="0" fontId="2" fillId="0" borderId="21" xfId="0" applyFont="1" applyBorder="1" applyAlignment="1" applyProtection="1">
      <alignment horizontal="center" vertical="top" wrapText="1"/>
      <protection locked="0"/>
    </xf>
    <xf numFmtId="0" fontId="6" fillId="4" borderId="20" xfId="0" applyFont="1" applyFill="1" applyBorder="1" applyAlignment="1" applyProtection="1">
      <alignment horizontal="center" vertical="center" wrapText="1"/>
      <protection locked="0"/>
    </xf>
    <xf numFmtId="0" fontId="6" fillId="4" borderId="8" xfId="0" applyFont="1" applyFill="1" applyBorder="1" applyAlignment="1" applyProtection="1">
      <alignment horizontal="center" vertical="center" wrapText="1"/>
      <protection locked="0"/>
    </xf>
    <xf numFmtId="0" fontId="6" fillId="4" borderId="11" xfId="0" applyFont="1" applyFill="1" applyBorder="1" applyAlignment="1" applyProtection="1">
      <alignment horizontal="center" vertical="center" wrapText="1"/>
      <protection locked="0"/>
    </xf>
    <xf numFmtId="0" fontId="6" fillId="0" borderId="16" xfId="0" applyFont="1" applyBorder="1" applyAlignment="1" applyProtection="1">
      <alignment horizontal="center" vertical="center" wrapText="1"/>
      <protection locked="0"/>
    </xf>
    <xf numFmtId="0" fontId="6" fillId="0" borderId="3" xfId="0" applyFont="1" applyBorder="1" applyAlignment="1" applyProtection="1">
      <alignment horizontal="center" vertical="center" wrapText="1"/>
      <protection locked="0"/>
    </xf>
    <xf numFmtId="0" fontId="6" fillId="0" borderId="4" xfId="0" applyFont="1" applyBorder="1" applyAlignment="1" applyProtection="1">
      <alignment horizontal="center" vertical="center" wrapText="1"/>
      <protection locked="0"/>
    </xf>
    <xf numFmtId="165" fontId="6" fillId="0" borderId="21" xfId="1" applyNumberFormat="1" applyFont="1" applyFill="1" applyBorder="1" applyAlignment="1" applyProtection="1">
      <alignment horizontal="right" vertical="center" wrapText="1"/>
      <protection locked="0"/>
    </xf>
    <xf numFmtId="165" fontId="6" fillId="0" borderId="37" xfId="1" applyNumberFormat="1" applyFont="1" applyFill="1" applyBorder="1" applyAlignment="1" applyProtection="1">
      <alignment horizontal="right" vertical="center" wrapText="1"/>
      <protection locked="0"/>
    </xf>
    <xf numFmtId="0" fontId="2" fillId="2" borderId="26" xfId="0" applyFont="1" applyFill="1" applyBorder="1" applyAlignment="1" applyProtection="1">
      <alignment horizontal="center" vertical="center" wrapText="1"/>
      <protection locked="0"/>
    </xf>
    <xf numFmtId="0" fontId="2" fillId="2" borderId="11" xfId="0" applyFont="1" applyFill="1" applyBorder="1" applyAlignment="1" applyProtection="1">
      <alignment horizontal="center" vertical="center" wrapText="1"/>
      <protection locked="0"/>
    </xf>
    <xf numFmtId="0" fontId="2" fillId="2" borderId="21" xfId="0" applyFont="1" applyFill="1" applyBorder="1" applyAlignment="1" applyProtection="1">
      <alignment horizontal="center" vertical="center" wrapText="1"/>
      <protection locked="0"/>
    </xf>
    <xf numFmtId="0" fontId="6" fillId="0" borderId="5" xfId="0" applyFont="1" applyBorder="1" applyAlignment="1" applyProtection="1">
      <alignment horizontal="center" vertical="center" wrapText="1"/>
      <protection locked="0"/>
    </xf>
    <xf numFmtId="0" fontId="6" fillId="0" borderId="6" xfId="0" applyFont="1" applyBorder="1" applyAlignment="1" applyProtection="1">
      <alignment horizontal="center" vertical="center" wrapText="1"/>
      <protection locked="0"/>
    </xf>
    <xf numFmtId="0" fontId="6" fillId="0" borderId="7" xfId="0" applyFont="1" applyBorder="1" applyAlignment="1" applyProtection="1">
      <alignment horizontal="center" vertical="center" wrapText="1"/>
      <protection locked="0"/>
    </xf>
    <xf numFmtId="167" fontId="2" fillId="0" borderId="5" xfId="0" applyNumberFormat="1" applyFont="1" applyBorder="1" applyAlignment="1" applyProtection="1">
      <alignment horizontal="center" vertical="center" wrapText="1"/>
      <protection locked="0"/>
    </xf>
    <xf numFmtId="167" fontId="2" fillId="0" borderId="6" xfId="0" applyNumberFormat="1" applyFont="1" applyBorder="1" applyAlignment="1" applyProtection="1">
      <alignment horizontal="center" vertical="center" wrapText="1"/>
      <protection locked="0"/>
    </xf>
    <xf numFmtId="167" fontId="2" fillId="0" borderId="15" xfId="0" applyNumberFormat="1" applyFont="1" applyBorder="1" applyAlignment="1" applyProtection="1">
      <alignment horizontal="center" vertical="center" wrapText="1"/>
      <protection locked="0"/>
    </xf>
    <xf numFmtId="0" fontId="2" fillId="2" borderId="17" xfId="0" applyFont="1" applyFill="1" applyBorder="1" applyAlignment="1" applyProtection="1">
      <alignment horizontal="center" vertical="center" wrapText="1"/>
      <protection locked="0"/>
    </xf>
    <xf numFmtId="0" fontId="2" fillId="2" borderId="7" xfId="0" applyFont="1" applyFill="1" applyBorder="1" applyAlignment="1" applyProtection="1">
      <alignment horizontal="center" vertical="center" wrapText="1"/>
      <protection locked="0"/>
    </xf>
    <xf numFmtId="0" fontId="2" fillId="2" borderId="9" xfId="0" applyFont="1" applyFill="1" applyBorder="1" applyAlignment="1" applyProtection="1">
      <alignment horizontal="center" vertical="center" wrapText="1"/>
      <protection locked="0"/>
    </xf>
    <xf numFmtId="0" fontId="8" fillId="4" borderId="24" xfId="0" applyFont="1" applyFill="1" applyBorder="1" applyAlignment="1">
      <alignment horizontal="center" vertical="center"/>
    </xf>
    <xf numFmtId="0" fontId="8" fillId="4" borderId="27" xfId="0" applyFont="1" applyFill="1" applyBorder="1" applyAlignment="1">
      <alignment horizontal="center" vertical="center"/>
    </xf>
    <xf numFmtId="0" fontId="8" fillId="4" borderId="28" xfId="0" applyFont="1" applyFill="1" applyBorder="1" applyAlignment="1">
      <alignment horizontal="center" vertical="center" wrapText="1"/>
    </xf>
    <xf numFmtId="0" fontId="8" fillId="4" borderId="27"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3" fillId="0" borderId="35" xfId="0" applyFont="1" applyBorder="1" applyAlignment="1">
      <alignment horizontal="center" vertical="center"/>
    </xf>
    <xf numFmtId="0" fontId="3" fillId="0" borderId="36" xfId="0" applyFont="1" applyBorder="1" applyAlignment="1">
      <alignment horizontal="center" vertical="center"/>
    </xf>
    <xf numFmtId="0" fontId="14" fillId="5" borderId="23" xfId="0" applyFont="1" applyFill="1" applyBorder="1" applyAlignment="1" applyProtection="1">
      <alignment horizontal="center"/>
      <protection locked="0"/>
    </xf>
    <xf numFmtId="0" fontId="14" fillId="5" borderId="24" xfId="0" applyFont="1" applyFill="1" applyBorder="1" applyAlignment="1" applyProtection="1">
      <alignment horizontal="center"/>
      <protection locked="0"/>
    </xf>
    <xf numFmtId="0" fontId="14" fillId="5" borderId="25" xfId="0" applyFont="1" applyFill="1" applyBorder="1" applyAlignment="1" applyProtection="1">
      <alignment horizontal="center"/>
      <protection locked="0"/>
    </xf>
    <xf numFmtId="0" fontId="6" fillId="4" borderId="23" xfId="0" applyFont="1" applyFill="1" applyBorder="1" applyAlignment="1" applyProtection="1">
      <alignment horizontal="center" vertical="center"/>
      <protection locked="0"/>
    </xf>
    <xf numFmtId="0" fontId="6" fillId="4" borderId="25" xfId="0" applyFont="1" applyFill="1" applyBorder="1" applyAlignment="1" applyProtection="1">
      <alignment horizontal="center" vertical="center"/>
      <protection locked="0"/>
    </xf>
    <xf numFmtId="0" fontId="6" fillId="0" borderId="21" xfId="0" applyFont="1" applyBorder="1" applyAlignment="1" applyProtection="1">
      <alignment horizontal="center" wrapText="1"/>
      <protection locked="0"/>
    </xf>
    <xf numFmtId="0" fontId="14" fillId="0" borderId="12" xfId="0" applyFont="1" applyBorder="1" applyAlignment="1" applyProtection="1">
      <alignment horizontal="center" vertical="center"/>
      <protection locked="0"/>
    </xf>
    <xf numFmtId="0" fontId="14" fillId="0" borderId="34" xfId="0" applyFont="1" applyBorder="1" applyAlignment="1" applyProtection="1">
      <alignment horizontal="center" vertical="center"/>
      <protection locked="0"/>
    </xf>
    <xf numFmtId="0" fontId="14" fillId="0" borderId="13" xfId="0" applyFont="1" applyBorder="1" applyAlignment="1" applyProtection="1">
      <alignment horizontal="center" vertical="center"/>
      <protection locked="0"/>
    </xf>
    <xf numFmtId="0" fontId="14" fillId="0" borderId="14" xfId="0" applyFont="1" applyBorder="1" applyAlignment="1" applyProtection="1">
      <alignment horizontal="center" vertical="center"/>
      <protection locked="0"/>
    </xf>
    <xf numFmtId="0" fontId="14" fillId="0" borderId="4" xfId="0" applyFont="1" applyBorder="1" applyAlignment="1" applyProtection="1">
      <alignment horizontal="center" vertical="center"/>
      <protection locked="0"/>
    </xf>
    <xf numFmtId="0" fontId="14" fillId="0" borderId="1" xfId="0" applyFont="1" applyBorder="1" applyAlignment="1" applyProtection="1">
      <alignment horizontal="center" vertical="center"/>
      <protection locked="0"/>
    </xf>
    <xf numFmtId="0" fontId="14" fillId="0" borderId="17" xfId="0" applyFont="1" applyBorder="1" applyAlignment="1" applyProtection="1">
      <alignment horizontal="center" vertical="center"/>
      <protection locked="0"/>
    </xf>
    <xf numFmtId="0" fontId="14" fillId="0" borderId="7" xfId="0" applyFont="1" applyBorder="1" applyAlignment="1" applyProtection="1">
      <alignment horizontal="center" vertical="center"/>
      <protection locked="0"/>
    </xf>
    <xf numFmtId="0" fontId="14" fillId="0" borderId="9" xfId="0" applyFont="1" applyBorder="1" applyAlignment="1" applyProtection="1">
      <alignment horizontal="center" vertical="center"/>
      <protection locked="0"/>
    </xf>
    <xf numFmtId="0" fontId="6" fillId="0" borderId="26" xfId="0" applyFont="1" applyBorder="1" applyAlignment="1" applyProtection="1">
      <alignment horizontal="left" vertical="center" wrapText="1"/>
      <protection locked="0"/>
    </xf>
    <xf numFmtId="0" fontId="6" fillId="0" borderId="11" xfId="0" applyFont="1" applyBorder="1" applyAlignment="1" applyProtection="1">
      <alignment horizontal="left" vertical="center" wrapText="1"/>
      <protection locked="0"/>
    </xf>
    <xf numFmtId="0" fontId="6" fillId="0" borderId="21" xfId="0" applyFont="1" applyBorder="1" applyAlignment="1" applyProtection="1">
      <alignment horizontal="left" vertical="center" wrapText="1"/>
      <protection locked="0"/>
    </xf>
    <xf numFmtId="0" fontId="6" fillId="0" borderId="32" xfId="0" applyFont="1" applyBorder="1" applyAlignment="1" applyProtection="1">
      <alignment horizontal="center" vertical="center" wrapText="1"/>
      <protection locked="0"/>
    </xf>
    <xf numFmtId="0" fontId="6" fillId="0" borderId="33" xfId="0" applyFont="1" applyBorder="1" applyAlignment="1" applyProtection="1">
      <alignment horizontal="center" vertical="center" wrapText="1"/>
      <protection locked="0"/>
    </xf>
    <xf numFmtId="0" fontId="6" fillId="0" borderId="34" xfId="0" applyFont="1" applyBorder="1" applyAlignment="1" applyProtection="1">
      <alignment horizontal="center" vertical="center" wrapText="1"/>
      <protection locked="0"/>
    </xf>
    <xf numFmtId="0" fontId="2" fillId="0" borderId="2" xfId="0" applyFont="1" applyBorder="1" applyAlignment="1" applyProtection="1">
      <alignment horizontal="center" vertical="center" wrapText="1"/>
      <protection locked="0"/>
    </xf>
    <xf numFmtId="0" fontId="2" fillId="0" borderId="3" xfId="0" applyFont="1" applyBorder="1" applyAlignment="1" applyProtection="1">
      <alignment horizontal="center" vertical="center" wrapText="1"/>
      <protection locked="0"/>
    </xf>
    <xf numFmtId="0" fontId="2" fillId="0" borderId="4" xfId="0" applyFont="1" applyBorder="1" applyAlignment="1" applyProtection="1">
      <alignment horizontal="center" vertical="center" wrapText="1"/>
      <protection locked="0"/>
    </xf>
    <xf numFmtId="0" fontId="6" fillId="4" borderId="24" xfId="0" applyFont="1" applyFill="1" applyBorder="1" applyAlignment="1" applyProtection="1">
      <alignment horizontal="center" vertical="center"/>
      <protection locked="0"/>
    </xf>
    <xf numFmtId="0" fontId="6" fillId="4" borderId="27" xfId="0" applyFont="1" applyFill="1" applyBorder="1" applyAlignment="1" applyProtection="1">
      <alignment horizontal="center" vertical="center"/>
      <protection locked="0"/>
    </xf>
    <xf numFmtId="0" fontId="6" fillId="4" borderId="23" xfId="0" applyFont="1" applyFill="1" applyBorder="1" applyAlignment="1" applyProtection="1">
      <alignment horizontal="center" vertical="center" wrapText="1"/>
      <protection locked="0"/>
    </xf>
    <xf numFmtId="0" fontId="6" fillId="4" borderId="25" xfId="0" applyFont="1" applyFill="1" applyBorder="1" applyAlignment="1" applyProtection="1">
      <alignment horizontal="center" vertical="center" wrapText="1"/>
      <protection locked="0"/>
    </xf>
    <xf numFmtId="0" fontId="6" fillId="0" borderId="17" xfId="0" applyFont="1" applyBorder="1" applyAlignment="1" applyProtection="1">
      <alignment horizontal="left" vertical="center" wrapText="1"/>
      <protection locked="0"/>
    </xf>
    <xf numFmtId="0" fontId="6" fillId="0" borderId="7" xfId="0" applyFont="1" applyBorder="1" applyAlignment="1" applyProtection="1">
      <alignment horizontal="left" vertical="center" wrapText="1"/>
      <protection locked="0"/>
    </xf>
    <xf numFmtId="0" fontId="6" fillId="0" borderId="9" xfId="0" applyFont="1" applyBorder="1" applyAlignment="1" applyProtection="1">
      <alignment horizontal="left" vertical="center" wrapText="1"/>
      <protection locked="0"/>
    </xf>
    <xf numFmtId="0" fontId="13" fillId="0" borderId="21" xfId="4" applyBorder="1" applyAlignment="1">
      <alignment horizontal="center" vertical="center"/>
    </xf>
    <xf numFmtId="0" fontId="9" fillId="0" borderId="37" xfId="0" applyFont="1" applyBorder="1" applyAlignment="1">
      <alignment horizontal="center" vertical="center"/>
    </xf>
    <xf numFmtId="49" fontId="2" fillId="0" borderId="1" xfId="0" applyNumberFormat="1" applyFont="1" applyBorder="1" applyAlignment="1" applyProtection="1">
      <alignment horizontal="left" vertical="top" wrapText="1"/>
      <protection locked="0"/>
    </xf>
    <xf numFmtId="0" fontId="9" fillId="2" borderId="21" xfId="0" applyFont="1" applyFill="1" applyBorder="1" applyAlignment="1">
      <alignment horizontal="center" vertical="center"/>
    </xf>
    <xf numFmtId="14" fontId="9" fillId="2" borderId="8" xfId="0" applyNumberFormat="1" applyFont="1" applyFill="1" applyBorder="1" applyAlignment="1">
      <alignment horizontal="left" vertical="top" wrapText="1"/>
    </xf>
    <xf numFmtId="0" fontId="2" fillId="0" borderId="41" xfId="0" applyFont="1" applyBorder="1" applyAlignment="1" applyProtection="1">
      <alignment horizontal="left" vertical="center" wrapText="1"/>
      <protection locked="0"/>
    </xf>
    <xf numFmtId="0" fontId="2" fillId="0" borderId="48" xfId="0" applyFont="1" applyBorder="1" applyAlignment="1" applyProtection="1">
      <alignment horizontal="left" vertical="center" wrapText="1"/>
      <protection locked="0"/>
    </xf>
    <xf numFmtId="0" fontId="2" fillId="0" borderId="42" xfId="0" applyFont="1" applyBorder="1" applyAlignment="1" applyProtection="1">
      <alignment horizontal="left" vertical="center" wrapText="1"/>
      <protection locked="0"/>
    </xf>
    <xf numFmtId="0" fontId="6" fillId="0" borderId="45" xfId="0" applyFont="1" applyBorder="1" applyAlignment="1" applyProtection="1">
      <alignment horizontal="left" vertical="center" wrapText="1"/>
      <protection locked="0"/>
    </xf>
    <xf numFmtId="0" fontId="6" fillId="0" borderId="43" xfId="0" applyFont="1" applyBorder="1" applyAlignment="1" applyProtection="1">
      <alignment horizontal="left" vertical="center" wrapText="1"/>
      <protection locked="0"/>
    </xf>
    <xf numFmtId="0" fontId="2" fillId="0" borderId="43" xfId="0" applyFont="1" applyBorder="1" applyAlignment="1" applyProtection="1">
      <alignment horizontal="left" vertical="center" wrapText="1"/>
      <protection locked="0"/>
    </xf>
    <xf numFmtId="0" fontId="2" fillId="0" borderId="44" xfId="0" applyFont="1" applyBorder="1" applyAlignment="1" applyProtection="1">
      <alignment horizontal="left" vertical="center" wrapText="1"/>
      <protection locked="0"/>
    </xf>
    <xf numFmtId="0" fontId="6" fillId="4" borderId="21" xfId="0" applyFont="1" applyFill="1" applyBorder="1" applyAlignment="1" applyProtection="1">
      <alignment horizontal="center" vertical="center" wrapText="1"/>
      <protection locked="0"/>
    </xf>
    <xf numFmtId="0" fontId="6" fillId="4" borderId="1" xfId="0" applyFont="1" applyFill="1" applyBorder="1" applyAlignment="1" applyProtection="1">
      <alignment horizontal="center" vertical="center" wrapText="1"/>
      <protection locked="0"/>
    </xf>
    <xf numFmtId="0" fontId="6" fillId="0" borderId="21" xfId="0" applyFont="1" applyBorder="1" applyAlignment="1" applyProtection="1">
      <alignment horizontal="center" vertical="center" wrapText="1"/>
      <protection locked="0"/>
    </xf>
    <xf numFmtId="0" fontId="6" fillId="0" borderId="9" xfId="0" applyFont="1" applyBorder="1" applyAlignment="1" applyProtection="1">
      <alignment horizontal="center" vertical="center" wrapText="1"/>
      <protection locked="0"/>
    </xf>
    <xf numFmtId="0" fontId="8" fillId="4" borderId="45" xfId="0" applyFont="1" applyFill="1" applyBorder="1" applyAlignment="1" applyProtection="1">
      <alignment horizontal="center" vertical="center" wrapText="1"/>
      <protection locked="0"/>
    </xf>
    <xf numFmtId="0" fontId="8" fillId="4" borderId="43" xfId="0" applyFont="1" applyFill="1" applyBorder="1" applyAlignment="1" applyProtection="1">
      <alignment horizontal="center" vertical="center" wrapText="1"/>
      <protection locked="0"/>
    </xf>
    <xf numFmtId="0" fontId="8" fillId="4" borderId="44" xfId="0" applyFont="1" applyFill="1" applyBorder="1" applyAlignment="1" applyProtection="1">
      <alignment horizontal="center" vertical="center" wrapText="1"/>
      <protection locked="0"/>
    </xf>
    <xf numFmtId="0" fontId="2" fillId="4" borderId="19" xfId="0" applyFont="1" applyFill="1" applyBorder="1" applyAlignment="1" applyProtection="1">
      <alignment horizontal="left" vertical="top" wrapText="1"/>
      <protection locked="0"/>
    </xf>
    <xf numFmtId="0" fontId="2" fillId="4" borderId="0" xfId="0" applyFont="1" applyFill="1" applyAlignment="1" applyProtection="1">
      <alignment horizontal="left" vertical="top" wrapText="1"/>
      <protection locked="0"/>
    </xf>
    <xf numFmtId="0" fontId="2" fillId="4" borderId="50" xfId="0" applyFont="1" applyFill="1" applyBorder="1" applyAlignment="1" applyProtection="1">
      <alignment horizontal="left" vertical="top" wrapText="1"/>
      <protection locked="0"/>
    </xf>
    <xf numFmtId="0" fontId="6" fillId="4" borderId="19" xfId="0" applyFont="1" applyFill="1" applyBorder="1" applyAlignment="1" applyProtection="1">
      <alignment horizontal="center" vertical="center" wrapText="1"/>
      <protection locked="0"/>
    </xf>
    <xf numFmtId="0" fontId="6" fillId="4" borderId="0" xfId="0" applyFont="1" applyFill="1" applyAlignment="1" applyProtection="1">
      <alignment horizontal="center" vertical="center" wrapText="1"/>
      <protection locked="0"/>
    </xf>
    <xf numFmtId="0" fontId="6" fillId="4" borderId="10" xfId="0" applyFont="1" applyFill="1" applyBorder="1" applyAlignment="1" applyProtection="1">
      <alignment horizontal="center" vertical="center" wrapText="1"/>
      <protection locked="0"/>
    </xf>
    <xf numFmtId="0" fontId="2" fillId="0" borderId="46" xfId="0" applyFont="1" applyBorder="1" applyAlignment="1" applyProtection="1">
      <alignment horizontal="left" vertical="center" wrapText="1"/>
      <protection locked="0"/>
    </xf>
    <xf numFmtId="0" fontId="2" fillId="0" borderId="47" xfId="0" applyFont="1" applyBorder="1" applyAlignment="1" applyProtection="1">
      <alignment horizontal="left" vertical="center" wrapText="1"/>
      <protection locked="0"/>
    </xf>
    <xf numFmtId="0" fontId="2" fillId="0" borderId="46" xfId="0" applyFont="1" applyBorder="1" applyAlignment="1" applyProtection="1">
      <alignment horizontal="right" vertical="center" wrapText="1"/>
      <protection locked="0"/>
    </xf>
    <xf numFmtId="0" fontId="2" fillId="0" borderId="49" xfId="0" applyFont="1" applyBorder="1" applyAlignment="1" applyProtection="1">
      <alignment horizontal="right" vertical="center" wrapText="1"/>
      <protection locked="0"/>
    </xf>
    <xf numFmtId="0" fontId="6" fillId="0" borderId="2" xfId="0" applyFont="1" applyBorder="1" applyAlignment="1" applyProtection="1">
      <alignment horizontal="center" vertical="center" wrapText="1"/>
      <protection locked="0"/>
    </xf>
    <xf numFmtId="0" fontId="18" fillId="5" borderId="23" xfId="0" applyFont="1" applyFill="1" applyBorder="1" applyAlignment="1" applyProtection="1">
      <alignment horizontal="center" vertical="center" wrapText="1"/>
      <protection locked="0"/>
    </xf>
    <xf numFmtId="0" fontId="18" fillId="5" borderId="24" xfId="0" applyFont="1" applyFill="1" applyBorder="1" applyAlignment="1" applyProtection="1">
      <alignment horizontal="center" vertical="center" wrapText="1"/>
      <protection locked="0"/>
    </xf>
    <xf numFmtId="0" fontId="18" fillId="5" borderId="25" xfId="0" applyFont="1" applyFill="1" applyBorder="1" applyAlignment="1" applyProtection="1">
      <alignment horizontal="center" vertical="center" wrapText="1"/>
      <protection locked="0"/>
    </xf>
    <xf numFmtId="0" fontId="6" fillId="0" borderId="18" xfId="0" applyFont="1" applyBorder="1" applyAlignment="1" applyProtection="1">
      <alignment horizontal="center" vertical="center" wrapText="1"/>
      <protection locked="0"/>
    </xf>
    <xf numFmtId="0" fontId="15" fillId="0" borderId="1" xfId="0" applyFont="1" applyBorder="1" applyAlignment="1" applyProtection="1">
      <alignment horizontal="left" vertical="center" wrapText="1"/>
      <protection locked="0"/>
    </xf>
    <xf numFmtId="0" fontId="8" fillId="0" borderId="1" xfId="0" applyFont="1" applyBorder="1" applyAlignment="1">
      <alignment horizontal="left" vertical="center"/>
    </xf>
    <xf numFmtId="0" fontId="9" fillId="0" borderId="1" xfId="0" applyFont="1" applyBorder="1" applyAlignment="1">
      <alignment horizontal="left" vertical="center" wrapText="1"/>
    </xf>
    <xf numFmtId="0" fontId="4" fillId="0" borderId="1" xfId="3" applyFont="1" applyBorder="1" applyAlignment="1">
      <alignment horizontal="center"/>
    </xf>
    <xf numFmtId="0" fontId="4" fillId="0" borderId="9" xfId="3" applyFont="1" applyBorder="1" applyAlignment="1">
      <alignment horizontal="center"/>
    </xf>
    <xf numFmtId="0" fontId="8" fillId="0" borderId="2" xfId="0" applyFont="1" applyBorder="1" applyAlignment="1">
      <alignment horizontal="left" vertical="center" wrapText="1"/>
    </xf>
    <xf numFmtId="0" fontId="8" fillId="0" borderId="3" xfId="0" applyFont="1" applyBorder="1" applyAlignment="1">
      <alignment horizontal="left" vertical="center" wrapText="1"/>
    </xf>
    <xf numFmtId="0" fontId="8" fillId="0" borderId="4" xfId="0" applyFont="1" applyBorder="1" applyAlignment="1">
      <alignment horizontal="left" vertical="center" wrapText="1"/>
    </xf>
    <xf numFmtId="0" fontId="9" fillId="0" borderId="2" xfId="0" applyFont="1" applyBorder="1" applyAlignment="1">
      <alignment horizontal="justify" vertical="center" wrapText="1"/>
    </xf>
    <xf numFmtId="0" fontId="9" fillId="0" borderId="3" xfId="0" applyFont="1" applyBorder="1" applyAlignment="1">
      <alignment horizontal="justify" vertical="center" wrapText="1"/>
    </xf>
    <xf numFmtId="0" fontId="9" fillId="0" borderId="4" xfId="0" applyFont="1" applyBorder="1" applyAlignment="1">
      <alignment horizontal="justify" vertical="center" wrapText="1"/>
    </xf>
    <xf numFmtId="0" fontId="6" fillId="0" borderId="2" xfId="3" applyFont="1" applyBorder="1" applyAlignment="1">
      <alignment horizontal="center" vertical="center" wrapText="1"/>
    </xf>
    <xf numFmtId="0" fontId="6" fillId="0" borderId="3" xfId="3" applyFont="1" applyBorder="1" applyAlignment="1">
      <alignment horizontal="center" vertical="center" wrapText="1"/>
    </xf>
    <xf numFmtId="0" fontId="2" fillId="0" borderId="2" xfId="3" applyBorder="1" applyAlignment="1">
      <alignment horizontal="center" vertical="center" wrapText="1"/>
    </xf>
    <xf numFmtId="0" fontId="2" fillId="0" borderId="3" xfId="3" applyBorder="1" applyAlignment="1">
      <alignment horizontal="center" vertical="center" wrapText="1"/>
    </xf>
    <xf numFmtId="0" fontId="6" fillId="0" borderId="5" xfId="3" applyFont="1" applyBorder="1" applyAlignment="1">
      <alignment horizontal="center" vertical="center" wrapText="1"/>
    </xf>
    <xf numFmtId="0" fontId="6" fillId="0" borderId="6" xfId="3" applyFont="1" applyBorder="1" applyAlignment="1">
      <alignment horizontal="center" vertical="center" wrapText="1"/>
    </xf>
    <xf numFmtId="0" fontId="4" fillId="3" borderId="23" xfId="3" applyFont="1" applyFill="1" applyBorder="1" applyAlignment="1">
      <alignment horizontal="center"/>
    </xf>
    <xf numFmtId="0" fontId="4" fillId="3" borderId="24" xfId="3" applyFont="1" applyFill="1" applyBorder="1" applyAlignment="1">
      <alignment horizontal="center"/>
    </xf>
    <xf numFmtId="0" fontId="4" fillId="3" borderId="25" xfId="3" applyFont="1" applyFill="1" applyBorder="1" applyAlignment="1">
      <alignment horizontal="center"/>
    </xf>
    <xf numFmtId="0" fontId="10" fillId="0" borderId="2" xfId="0" applyFont="1" applyBorder="1" applyAlignment="1">
      <alignment horizontal="justify" vertical="center" wrapText="1"/>
    </xf>
    <xf numFmtId="0" fontId="7" fillId="3" borderId="23" xfId="3" applyFont="1" applyFill="1" applyBorder="1" applyAlignment="1">
      <alignment horizontal="center" vertical="center" wrapText="1"/>
    </xf>
    <xf numFmtId="0" fontId="7" fillId="3" borderId="24" xfId="3" applyFont="1" applyFill="1" applyBorder="1" applyAlignment="1">
      <alignment horizontal="center" vertical="center" wrapText="1"/>
    </xf>
    <xf numFmtId="0" fontId="7" fillId="3" borderId="27" xfId="3" applyFont="1" applyFill="1" applyBorder="1" applyAlignment="1">
      <alignment horizontal="center" vertical="center" wrapText="1"/>
    </xf>
    <xf numFmtId="0" fontId="6" fillId="3" borderId="29" xfId="3" applyFont="1" applyFill="1" applyBorder="1" applyAlignment="1">
      <alignment horizontal="center" vertical="center" wrapText="1"/>
    </xf>
    <xf numFmtId="0" fontId="6" fillId="3" borderId="24" xfId="3" applyFont="1" applyFill="1" applyBorder="1" applyAlignment="1">
      <alignment horizontal="center" vertical="center" wrapText="1"/>
    </xf>
    <xf numFmtId="0" fontId="6" fillId="3" borderId="25" xfId="3" applyFont="1" applyFill="1" applyBorder="1" applyAlignment="1">
      <alignment horizontal="center" vertical="center" wrapText="1"/>
    </xf>
    <xf numFmtId="0" fontId="8" fillId="0" borderId="32" xfId="0" applyFont="1" applyBorder="1" applyAlignment="1">
      <alignment horizontal="left" vertical="center" wrapText="1"/>
    </xf>
    <xf numFmtId="0" fontId="8" fillId="0" borderId="33" xfId="0" applyFont="1" applyBorder="1" applyAlignment="1">
      <alignment horizontal="left" vertical="center" wrapText="1"/>
    </xf>
    <xf numFmtId="0" fontId="8" fillId="0" borderId="34" xfId="0" applyFont="1" applyBorder="1" applyAlignment="1">
      <alignment horizontal="left" vertical="center" wrapText="1"/>
    </xf>
    <xf numFmtId="0" fontId="9" fillId="0" borderId="32" xfId="0" applyFont="1" applyBorder="1" applyAlignment="1">
      <alignment horizontal="left" vertical="center" wrapText="1"/>
    </xf>
    <xf numFmtId="0" fontId="9" fillId="0" borderId="33" xfId="0" applyFont="1" applyBorder="1" applyAlignment="1">
      <alignment horizontal="left" vertical="center" wrapText="1"/>
    </xf>
    <xf numFmtId="0" fontId="9" fillId="0" borderId="34" xfId="0" applyFont="1" applyBorder="1" applyAlignment="1">
      <alignment horizontal="left" vertical="center" wrapText="1"/>
    </xf>
    <xf numFmtId="0" fontId="9" fillId="0" borderId="2" xfId="0" applyFont="1" applyBorder="1" applyAlignment="1">
      <alignment horizontal="justify" vertical="justify" wrapText="1"/>
    </xf>
    <xf numFmtId="0" fontId="9" fillId="0" borderId="3" xfId="0" applyFont="1" applyBorder="1" applyAlignment="1">
      <alignment horizontal="justify" vertical="justify" wrapText="1"/>
    </xf>
    <xf numFmtId="0" fontId="9" fillId="0" borderId="4" xfId="0" applyFont="1" applyBorder="1" applyAlignment="1">
      <alignment horizontal="justify" vertical="justify" wrapText="1"/>
    </xf>
    <xf numFmtId="0" fontId="9" fillId="0" borderId="1" xfId="0" applyFont="1" applyBorder="1" applyAlignment="1">
      <alignment horizontal="justify" vertical="center" wrapText="1"/>
    </xf>
    <xf numFmtId="0" fontId="8" fillId="0" borderId="1"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9" fillId="0" borderId="4" xfId="0" applyFont="1" applyBorder="1" applyAlignment="1">
      <alignment horizontal="left" vertical="center" wrapText="1"/>
    </xf>
    <xf numFmtId="0" fontId="2" fillId="0" borderId="57" xfId="0" applyNumberFormat="1" applyFont="1" applyBorder="1" applyAlignment="1" applyProtection="1">
      <alignment horizontal="center" vertical="center" wrapText="1"/>
      <protection locked="0"/>
    </xf>
    <xf numFmtId="17" fontId="2" fillId="0" borderId="32" xfId="0" applyNumberFormat="1" applyFont="1" applyBorder="1" applyAlignment="1" applyProtection="1">
      <alignment horizontal="center" vertical="center" wrapText="1"/>
      <protection locked="0"/>
    </xf>
    <xf numFmtId="0" fontId="2" fillId="4" borderId="0" xfId="0" applyNumberFormat="1" applyFont="1" applyFill="1" applyAlignment="1" applyProtection="1">
      <alignment vertical="center"/>
      <protection locked="0"/>
    </xf>
  </cellXfs>
  <cellStyles count="5">
    <cellStyle name="Hipervínculo" xfId="4" builtinId="8"/>
    <cellStyle name="Millares" xfId="1" builtinId="3"/>
    <cellStyle name="Normal" xfId="0" builtinId="0"/>
    <cellStyle name="Normal 3" xfId="3" xr:uid="{00000000-0005-0000-0000-000003000000}"/>
    <cellStyle name="Porcentaje" xfId="2" builtinId="5"/>
  </cellStyles>
  <dxfs count="0"/>
  <tableStyles count="0" defaultTableStyle="TableStyleMedium2" defaultPivotStyle="PivotStyleLight16"/>
  <colors>
    <mruColors>
      <color rgb="FFB73B8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10" Type="http://schemas.microsoft.com/office/2017/10/relationships/person" Target="persons/person.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504825</xdr:colOff>
      <xdr:row>0</xdr:row>
      <xdr:rowOff>38100</xdr:rowOff>
    </xdr:from>
    <xdr:to>
      <xdr:col>2</xdr:col>
      <xdr:colOff>794657</xdr:colOff>
      <xdr:row>2</xdr:row>
      <xdr:rowOff>332047</xdr:rowOff>
    </xdr:to>
    <xdr:pic>
      <xdr:nvPicPr>
        <xdr:cNvPr id="2" name="Imagen 1" descr="Logotipo, nombre de la empresa">
          <a:extLst>
            <a:ext uri="{FF2B5EF4-FFF2-40B4-BE49-F238E27FC236}">
              <a16:creationId xmlns:a16="http://schemas.microsoft.com/office/drawing/2014/main" id="{47968B0F-CC8C-4A3A-84BE-E045D441E2C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4825" y="38100"/>
          <a:ext cx="1397113" cy="948791"/>
        </a:xfrm>
        <a:prstGeom prst="rect">
          <a:avLst/>
        </a:prstGeom>
      </xdr:spPr>
    </xdr:pic>
    <xdr:clientData/>
  </xdr:twoCellAnchor>
  <xdr:twoCellAnchor editAs="oneCell">
    <xdr:from>
      <xdr:col>12</xdr:col>
      <xdr:colOff>552450</xdr:colOff>
      <xdr:row>0</xdr:row>
      <xdr:rowOff>47624</xdr:rowOff>
    </xdr:from>
    <xdr:to>
      <xdr:col>12</xdr:col>
      <xdr:colOff>2028825</xdr:colOff>
      <xdr:row>4</xdr:row>
      <xdr:rowOff>15848</xdr:rowOff>
    </xdr:to>
    <xdr:pic>
      <xdr:nvPicPr>
        <xdr:cNvPr id="5" name="Imagen 4" descr="Logotipo, nombre de la empresa">
          <a:extLst>
            <a:ext uri="{FF2B5EF4-FFF2-40B4-BE49-F238E27FC236}">
              <a16:creationId xmlns:a16="http://schemas.microsoft.com/office/drawing/2014/main" id="{9D1F41C3-541C-45CC-A22C-8F27CBBF5C5C}"/>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7584"/>
        <a:stretch/>
      </xdr:blipFill>
      <xdr:spPr>
        <a:xfrm>
          <a:off x="10763250" y="47624"/>
          <a:ext cx="1476375" cy="10445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139389</xdr:colOff>
      <xdr:row>0</xdr:row>
      <xdr:rowOff>92928</xdr:rowOff>
    </xdr:from>
    <xdr:to>
      <xdr:col>1</xdr:col>
      <xdr:colOff>613916</xdr:colOff>
      <xdr:row>2</xdr:row>
      <xdr:rowOff>197471</xdr:rowOff>
    </xdr:to>
    <xdr:pic>
      <xdr:nvPicPr>
        <xdr:cNvPr id="2" name="Imagen 1" descr="Logotipo, nombre de la empresa">
          <a:extLst>
            <a:ext uri="{FF2B5EF4-FFF2-40B4-BE49-F238E27FC236}">
              <a16:creationId xmlns:a16="http://schemas.microsoft.com/office/drawing/2014/main" id="{938101DF-C400-4568-98BA-9F53FFA0AD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389" y="92928"/>
          <a:ext cx="1241173" cy="824726"/>
        </a:xfrm>
        <a:prstGeom prst="rect">
          <a:avLst/>
        </a:prstGeom>
      </xdr:spPr>
    </xdr:pic>
    <xdr:clientData/>
  </xdr:twoCellAnchor>
  <xdr:twoCellAnchor editAs="oneCell">
    <xdr:from>
      <xdr:col>11</xdr:col>
      <xdr:colOff>0</xdr:colOff>
      <xdr:row>0</xdr:row>
      <xdr:rowOff>0</xdr:rowOff>
    </xdr:from>
    <xdr:to>
      <xdr:col>12</xdr:col>
      <xdr:colOff>756192</xdr:colOff>
      <xdr:row>3</xdr:row>
      <xdr:rowOff>57201</xdr:rowOff>
    </xdr:to>
    <xdr:pic>
      <xdr:nvPicPr>
        <xdr:cNvPr id="5" name="Imagen 4" descr="Logotipo, nombre de la empresa">
          <a:extLst>
            <a:ext uri="{FF2B5EF4-FFF2-40B4-BE49-F238E27FC236}">
              <a16:creationId xmlns:a16="http://schemas.microsoft.com/office/drawing/2014/main" id="{BE1CA5E7-D446-4860-B07C-4B5175018777}"/>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7584"/>
        <a:stretch/>
      </xdr:blipFill>
      <xdr:spPr>
        <a:xfrm>
          <a:off x="6516494" y="0"/>
          <a:ext cx="1476375" cy="1044549"/>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Gina Milena Plaza Alarcon" id="{0BB6798D-91CC-40B8-9CED-1B35B0BA6F5D}" userId="S::gina.plaza@unp.gov.co::ced27e43-9527-4683-b43e-4894dd7c954a"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A170" dT="2025-07-17T13:18:26.74" personId="{0BB6798D-91CC-40B8-9CED-1B35B0BA6F5D}" id="{87F863D3-0EBB-4EAD-8AD3-7B942B80DD45}">
    <text xml:space="preserve">Por favor indicar , por que  lo están relacionado y se realice los ajustes que haya lugar. </text>
  </threadedComment>
  <threadedComment ref="A170" dT="2025-07-17T20:56:03.49" personId="{0BB6798D-91CC-40B8-9CED-1B35B0BA6F5D}" id="{332C37B6-CD1F-4F2F-900E-D5C7FA6722C0}" parentId="{87F863D3-0EBB-4EAD-8AD3-7B942B80DD45}">
    <text>Falta brindar respuesta</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github.com/EcosistemaUNP/bk-sp-asp/commits/JCalixto-dev" TargetMode="External"/><Relationship Id="rId13" Type="http://schemas.openxmlformats.org/officeDocument/2006/relationships/printerSettings" Target="../printerSettings/printerSettings1.bin"/><Relationship Id="rId3" Type="http://schemas.openxmlformats.org/officeDocument/2006/relationships/hyperlink" Target="https://www.secop.gov.co/CO1ContractsManagement/Tendering/SalesContractManagement/Index" TargetMode="External"/><Relationship Id="rId7" Type="http://schemas.openxmlformats.org/officeDocument/2006/relationships/hyperlink" Target="https://apps.powerapps.com/play/e/default-58ec5e61-0ed7-4021-a4f8-c2e2b3b9f5ff/a/9f47d67b-a14a-449a-9e20-5fba6e6e51c3?tenantId=58ec5e61-0ed7-4021-a4f8-c2e2b3b9f5ff&amp;sourcetime=1757003904953" TargetMode="External"/><Relationship Id="rId12" Type="http://schemas.openxmlformats.org/officeDocument/2006/relationships/hyperlink" Target="https://github.com/EcosistemaUNP/bk-sp-asp/commits/JCalixto-dev" TargetMode="External"/><Relationship Id="rId17" Type="http://schemas.microsoft.com/office/2017/10/relationships/threadedComment" Target="../threadedComments/threadedComment1.xml"/><Relationship Id="rId2" Type="http://schemas.openxmlformats.org/officeDocument/2006/relationships/hyperlink" Target="https://github.com/EcosistemaUNP/bk-sp-asp.git" TargetMode="External"/><Relationship Id="rId16" Type="http://schemas.openxmlformats.org/officeDocument/2006/relationships/comments" Target="../comments1.xml"/><Relationship Id="rId1" Type="http://schemas.openxmlformats.org/officeDocument/2006/relationships/hyperlink" Target="http://intranet.unp.gov.co/SGI/Documents/GESTION%20CONTRACTUAL/14.FORMATOS/GCT-FT-32-V1Declaraci%C3%B3n%20Juramentada-%20Relaci%C3%B3n%20de%20Contratos%20de%20Prestaci%C3%B3n%20de%20Servicios%20Vigentes%20con%20otras%20Entidades%20Estatales.docx" TargetMode="External"/><Relationship Id="rId6" Type="http://schemas.openxmlformats.org/officeDocument/2006/relationships/hyperlink" Target="https://teams.microsoft.com/l/chat/48:notes/conversations?context=%7B%22contextType%22%3A%22chat%22%7D" TargetMode="External"/><Relationship Id="rId11" Type="http://schemas.openxmlformats.org/officeDocument/2006/relationships/hyperlink" Target="https://github.com/EcosistemaUNP/bk-sp-asp/commits/JCalixto-dev" TargetMode="External"/><Relationship Id="rId5" Type="http://schemas.openxmlformats.org/officeDocument/2006/relationships/hyperlink" Target="../../../../../../:f:/g/personal/juan_calixto_unp_gov_co/El6MXHP6tPhAskOfdg7hkeoBZMCo1FO62kCA5EHNGVhlSQ?e=Rmd6q8" TargetMode="External"/><Relationship Id="rId15" Type="http://schemas.openxmlformats.org/officeDocument/2006/relationships/vmlDrawing" Target="../drawings/vmlDrawing1.vml"/><Relationship Id="rId10" Type="http://schemas.openxmlformats.org/officeDocument/2006/relationships/hyperlink" Target="https://github.com/EcosistemaUNP/bk-sp-asp/commits/JCalixto-dev" TargetMode="External"/><Relationship Id="rId4" Type="http://schemas.openxmlformats.org/officeDocument/2006/relationships/hyperlink" Target="https://apps.powerapps.com/play/e/default-58ec5e61-0ed7-4021-a4f8-c2e2b3b9f5ff/a/9f47d67b-a14a-449a-9e20-5fba6e6e51c3?tenantId=58ec5e61-0ed7-4021-a4f8-c2e2b3b9f5ff&amp;sourcetime=1757003904953" TargetMode="External"/><Relationship Id="rId9" Type="http://schemas.openxmlformats.org/officeDocument/2006/relationships/hyperlink" Target="https://github.com/EcosistemaUNP/bk-sp-asp/commits/JCalixto-dev"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pageSetUpPr fitToPage="1"/>
  </sheetPr>
  <dimension ref="A1:O174"/>
  <sheetViews>
    <sheetView tabSelected="1" view="pageBreakPreview" topLeftCell="A20" zoomScaleNormal="100" zoomScaleSheetLayoutView="100" workbookViewId="0">
      <selection activeCell="A34" sqref="A34:L34"/>
    </sheetView>
  </sheetViews>
  <sheetFormatPr baseColWidth="10" defaultColWidth="11.42578125" defaultRowHeight="21.75" x14ac:dyDescent="0.65"/>
  <cols>
    <col min="1" max="1" width="12.140625" style="2" customWidth="1"/>
    <col min="2" max="2" width="4.42578125" style="2" customWidth="1"/>
    <col min="3" max="3" width="19.42578125" style="2" customWidth="1"/>
    <col min="4" max="4" width="14.28515625" style="2" customWidth="1"/>
    <col min="5" max="7" width="11.42578125" style="2"/>
    <col min="8" max="8" width="20.5703125" style="2" customWidth="1"/>
    <col min="9" max="9" width="7.85546875" style="2" customWidth="1"/>
    <col min="10" max="10" width="11.28515625" style="2" customWidth="1"/>
    <col min="11" max="11" width="15.85546875" style="2" customWidth="1"/>
    <col min="12" max="12" width="21.5703125" style="2" customWidth="1"/>
    <col min="13" max="13" width="36.7109375" style="2" customWidth="1"/>
    <col min="14" max="16384" width="11.42578125" style="2"/>
  </cols>
  <sheetData>
    <row r="1" spans="1:13" s="1" customFormat="1" ht="23.25" customHeight="1" x14ac:dyDescent="0.25">
      <c r="A1" s="152"/>
      <c r="B1" s="153"/>
      <c r="C1" s="154"/>
      <c r="D1" s="164" t="s">
        <v>0</v>
      </c>
      <c r="E1" s="165"/>
      <c r="F1" s="165"/>
      <c r="G1" s="165"/>
      <c r="H1" s="165"/>
      <c r="I1" s="165"/>
      <c r="J1" s="165"/>
      <c r="K1" s="165"/>
      <c r="L1" s="166"/>
      <c r="M1" s="144"/>
    </row>
    <row r="2" spans="1:13" s="1" customFormat="1" ht="27.75" customHeight="1" x14ac:dyDescent="0.25">
      <c r="A2" s="155"/>
      <c r="B2" s="156"/>
      <c r="C2" s="157"/>
      <c r="D2" s="167" t="s">
        <v>1</v>
      </c>
      <c r="E2" s="168"/>
      <c r="F2" s="168"/>
      <c r="G2" s="168"/>
      <c r="H2" s="168"/>
      <c r="I2" s="168"/>
      <c r="J2" s="168"/>
      <c r="K2" s="168"/>
      <c r="L2" s="169"/>
      <c r="M2" s="145"/>
    </row>
    <row r="3" spans="1:13" s="1" customFormat="1" ht="28.5" customHeight="1" thickBot="1" x14ac:dyDescent="0.3">
      <c r="A3" s="158"/>
      <c r="B3" s="159"/>
      <c r="C3" s="160"/>
      <c r="D3" s="130" t="s">
        <v>2</v>
      </c>
      <c r="E3" s="131"/>
      <c r="F3" s="131"/>
      <c r="G3" s="131"/>
      <c r="H3" s="131"/>
      <c r="I3" s="131"/>
      <c r="J3" s="131"/>
      <c r="K3" s="131"/>
      <c r="L3" s="132"/>
      <c r="M3" s="145"/>
    </row>
    <row r="4" spans="1:13" ht="5.25" customHeight="1" thickBot="1" x14ac:dyDescent="0.7">
      <c r="A4" s="146"/>
      <c r="B4" s="147"/>
      <c r="C4" s="147"/>
      <c r="D4" s="147"/>
      <c r="E4" s="147"/>
      <c r="F4" s="147"/>
      <c r="G4" s="147"/>
      <c r="H4" s="147"/>
      <c r="I4" s="147"/>
      <c r="J4" s="147"/>
      <c r="K4" s="147"/>
      <c r="L4" s="147"/>
      <c r="M4" s="148"/>
    </row>
    <row r="5" spans="1:13" ht="28.5" customHeight="1" thickBot="1" x14ac:dyDescent="0.7">
      <c r="A5" s="149" t="s">
        <v>3</v>
      </c>
      <c r="B5" s="170"/>
      <c r="C5" s="170"/>
      <c r="D5" s="170"/>
      <c r="E5" s="170"/>
      <c r="F5" s="170"/>
      <c r="G5" s="170"/>
      <c r="H5" s="170"/>
      <c r="I5" s="170"/>
      <c r="J5" s="170"/>
      <c r="K5" s="171"/>
      <c r="L5" s="149" t="s">
        <v>4</v>
      </c>
      <c r="M5" s="150"/>
    </row>
    <row r="6" spans="1:13" ht="27.75" customHeight="1" x14ac:dyDescent="0.65">
      <c r="A6" s="161" t="s">
        <v>5</v>
      </c>
      <c r="B6" s="162"/>
      <c r="C6" s="163"/>
      <c r="D6" s="151" t="s">
        <v>6</v>
      </c>
      <c r="E6" s="151"/>
      <c r="F6" s="151"/>
      <c r="G6" s="151"/>
      <c r="H6" s="151"/>
      <c r="I6" s="151"/>
      <c r="J6" s="151"/>
      <c r="K6" s="151"/>
      <c r="L6" s="253">
        <v>46054</v>
      </c>
      <c r="M6" s="252"/>
    </row>
    <row r="7" spans="1:13" ht="27" customHeight="1" thickBot="1" x14ac:dyDescent="0.7">
      <c r="A7" s="174" t="s">
        <v>7</v>
      </c>
      <c r="B7" s="175"/>
      <c r="C7" s="176"/>
      <c r="D7" s="109" t="s">
        <v>8</v>
      </c>
      <c r="E7" s="109"/>
      <c r="F7" s="109"/>
      <c r="G7" s="109"/>
      <c r="H7" s="109"/>
      <c r="I7" s="109"/>
      <c r="J7" s="109"/>
      <c r="K7" s="109"/>
      <c r="L7" s="109"/>
      <c r="M7" s="110"/>
    </row>
    <row r="8" spans="1:13" ht="6.75" customHeight="1" thickBot="1" x14ac:dyDescent="0.7">
      <c r="A8" s="113"/>
      <c r="B8" s="114"/>
      <c r="C8" s="114"/>
      <c r="D8" s="114"/>
      <c r="E8" s="114"/>
      <c r="F8" s="114"/>
      <c r="G8" s="114"/>
      <c r="H8" s="114"/>
      <c r="I8" s="114"/>
      <c r="J8" s="114"/>
      <c r="K8" s="114"/>
      <c r="L8" s="114"/>
      <c r="M8" s="115"/>
    </row>
    <row r="9" spans="1:13" ht="23.25" customHeight="1" thickBot="1" x14ac:dyDescent="0.7">
      <c r="A9" s="172" t="s">
        <v>9</v>
      </c>
      <c r="B9" s="112"/>
      <c r="C9" s="112"/>
      <c r="D9" s="112"/>
      <c r="E9" s="112"/>
      <c r="F9" s="112"/>
      <c r="G9" s="112"/>
      <c r="H9" s="112"/>
      <c r="I9" s="112"/>
      <c r="J9" s="112"/>
      <c r="K9" s="112"/>
      <c r="L9" s="112"/>
      <c r="M9" s="173"/>
    </row>
    <row r="10" spans="1:13" ht="44.25" customHeight="1" thickBot="1" x14ac:dyDescent="0.7">
      <c r="A10" s="58" t="s">
        <v>10</v>
      </c>
      <c r="B10" s="59"/>
      <c r="C10" s="111" t="s">
        <v>11</v>
      </c>
      <c r="D10" s="112"/>
      <c r="E10" s="112"/>
      <c r="F10" s="112"/>
      <c r="G10" s="111" t="s">
        <v>12</v>
      </c>
      <c r="H10" s="112"/>
      <c r="I10" s="112"/>
      <c r="J10" s="112"/>
      <c r="K10" s="112"/>
      <c r="L10" s="111" t="s">
        <v>13</v>
      </c>
      <c r="M10" s="112"/>
    </row>
    <row r="11" spans="1:13" ht="69.75" customHeight="1" thickBot="1" x14ac:dyDescent="0.7">
      <c r="A11" s="60">
        <v>1</v>
      </c>
      <c r="B11" s="61"/>
      <c r="C11" s="118" t="s">
        <v>14</v>
      </c>
      <c r="D11" s="118"/>
      <c r="E11" s="118"/>
      <c r="F11" s="118"/>
      <c r="G11" s="56" t="s">
        <v>119</v>
      </c>
      <c r="H11" s="57"/>
      <c r="I11" s="57"/>
      <c r="J11" s="57"/>
      <c r="K11" s="57"/>
      <c r="L11" s="177" t="s">
        <v>15</v>
      </c>
      <c r="M11" s="178"/>
    </row>
    <row r="12" spans="1:13" ht="78.75" customHeight="1" x14ac:dyDescent="0.65">
      <c r="A12" s="62">
        <v>2</v>
      </c>
      <c r="B12" s="63"/>
      <c r="C12" s="82" t="s">
        <v>16</v>
      </c>
      <c r="D12" s="82"/>
      <c r="E12" s="82"/>
      <c r="F12" s="82"/>
      <c r="G12" s="80" t="s">
        <v>17</v>
      </c>
      <c r="H12" s="81"/>
      <c r="I12" s="81"/>
      <c r="J12" s="81"/>
      <c r="K12" s="81"/>
      <c r="L12" s="116" t="s">
        <v>18</v>
      </c>
      <c r="M12" s="117"/>
    </row>
    <row r="13" spans="1:13" ht="75" customHeight="1" x14ac:dyDescent="0.65">
      <c r="A13" s="62">
        <v>3</v>
      </c>
      <c r="B13" s="63"/>
      <c r="C13" s="82" t="s">
        <v>19</v>
      </c>
      <c r="D13" s="82"/>
      <c r="E13" s="82"/>
      <c r="F13" s="82"/>
      <c r="G13" s="80" t="s">
        <v>118</v>
      </c>
      <c r="H13" s="81"/>
      <c r="I13" s="81"/>
      <c r="J13" s="81"/>
      <c r="K13" s="81"/>
      <c r="L13" s="98" t="s">
        <v>20</v>
      </c>
      <c r="M13" s="104"/>
    </row>
    <row r="14" spans="1:13" ht="102" customHeight="1" x14ac:dyDescent="0.65">
      <c r="A14" s="62">
        <v>4</v>
      </c>
      <c r="B14" s="63"/>
      <c r="C14" s="82" t="s">
        <v>21</v>
      </c>
      <c r="D14" s="82"/>
      <c r="E14" s="82"/>
      <c r="F14" s="82"/>
      <c r="G14" s="80" t="s">
        <v>120</v>
      </c>
      <c r="H14" s="81"/>
      <c r="I14" s="81"/>
      <c r="J14" s="81"/>
      <c r="K14" s="81"/>
      <c r="L14" s="103" t="s">
        <v>121</v>
      </c>
      <c r="M14" s="104"/>
    </row>
    <row r="15" spans="1:13" ht="90.75" customHeight="1" x14ac:dyDescent="0.65">
      <c r="A15" s="62">
        <v>5</v>
      </c>
      <c r="B15" s="63"/>
      <c r="C15" s="179" t="s">
        <v>22</v>
      </c>
      <c r="D15" s="179"/>
      <c r="E15" s="179"/>
      <c r="F15" s="179"/>
      <c r="G15" s="80" t="s">
        <v>23</v>
      </c>
      <c r="H15" s="81"/>
      <c r="I15" s="81"/>
      <c r="J15" s="81"/>
      <c r="K15" s="81"/>
      <c r="L15" s="75" t="s">
        <v>20</v>
      </c>
      <c r="M15" s="76"/>
    </row>
    <row r="16" spans="1:13" ht="55.5" customHeight="1" x14ac:dyDescent="0.65">
      <c r="A16" s="62">
        <v>6</v>
      </c>
      <c r="B16" s="63"/>
      <c r="C16" s="79" t="s">
        <v>24</v>
      </c>
      <c r="D16" s="79"/>
      <c r="E16" s="79"/>
      <c r="F16" s="79"/>
      <c r="G16" s="80" t="s">
        <v>122</v>
      </c>
      <c r="H16" s="81"/>
      <c r="I16" s="81"/>
      <c r="J16" s="81"/>
      <c r="K16" s="81"/>
      <c r="L16" s="75" t="s">
        <v>20</v>
      </c>
      <c r="M16" s="76"/>
    </row>
    <row r="17" spans="1:15" ht="74.25" customHeight="1" x14ac:dyDescent="0.65">
      <c r="A17" s="62">
        <v>7</v>
      </c>
      <c r="B17" s="63"/>
      <c r="C17" s="82" t="s">
        <v>25</v>
      </c>
      <c r="D17" s="82"/>
      <c r="E17" s="82"/>
      <c r="F17" s="82"/>
      <c r="G17" s="80" t="s">
        <v>123</v>
      </c>
      <c r="H17" s="81"/>
      <c r="I17" s="81"/>
      <c r="J17" s="81"/>
      <c r="K17" s="81"/>
      <c r="L17" s="75" t="s">
        <v>20</v>
      </c>
      <c r="M17" s="76"/>
    </row>
    <row r="18" spans="1:15" ht="53.25" customHeight="1" x14ac:dyDescent="0.65">
      <c r="A18" s="62">
        <v>8</v>
      </c>
      <c r="B18" s="63"/>
      <c r="C18" s="83" t="s">
        <v>26</v>
      </c>
      <c r="D18" s="83"/>
      <c r="E18" s="83"/>
      <c r="F18" s="83"/>
      <c r="G18" s="84" t="s">
        <v>27</v>
      </c>
      <c r="H18" s="85"/>
      <c r="I18" s="85"/>
      <c r="J18" s="85"/>
      <c r="K18" s="86"/>
      <c r="L18" s="96" t="s">
        <v>28</v>
      </c>
      <c r="M18" s="97"/>
    </row>
    <row r="19" spans="1:15" ht="60" customHeight="1" x14ac:dyDescent="0.65">
      <c r="A19" s="62">
        <v>9</v>
      </c>
      <c r="B19" s="63"/>
      <c r="C19" s="87" t="s">
        <v>29</v>
      </c>
      <c r="D19" s="88"/>
      <c r="E19" s="88"/>
      <c r="F19" s="89"/>
      <c r="G19" s="80" t="s">
        <v>124</v>
      </c>
      <c r="H19" s="81"/>
      <c r="I19" s="81"/>
      <c r="J19" s="81"/>
      <c r="K19" s="81"/>
      <c r="L19" s="98" t="s">
        <v>30</v>
      </c>
      <c r="M19" s="99"/>
    </row>
    <row r="20" spans="1:15" ht="93" customHeight="1" thickBot="1" x14ac:dyDescent="0.7">
      <c r="A20" s="62">
        <v>10</v>
      </c>
      <c r="B20" s="63"/>
      <c r="C20" s="84" t="s">
        <v>31</v>
      </c>
      <c r="D20" s="85"/>
      <c r="E20" s="85"/>
      <c r="F20" s="86"/>
      <c r="G20" s="100" t="s">
        <v>32</v>
      </c>
      <c r="H20" s="101"/>
      <c r="I20" s="101"/>
      <c r="J20" s="101"/>
      <c r="K20" s="102"/>
      <c r="L20" s="98" t="s">
        <v>33</v>
      </c>
      <c r="M20" s="99"/>
      <c r="O20" s="41"/>
    </row>
    <row r="21" spans="1:15" ht="78" customHeight="1" thickBot="1" x14ac:dyDescent="0.7">
      <c r="A21" s="77">
        <v>11</v>
      </c>
      <c r="B21" s="78"/>
      <c r="C21" s="74" t="s">
        <v>34</v>
      </c>
      <c r="D21" s="74"/>
      <c r="E21" s="74"/>
      <c r="F21" s="74"/>
      <c r="G21" s="71" t="s">
        <v>35</v>
      </c>
      <c r="H21" s="72"/>
      <c r="I21" s="72"/>
      <c r="J21" s="72"/>
      <c r="K21" s="73"/>
      <c r="L21" s="116" t="s">
        <v>18</v>
      </c>
      <c r="M21" s="117"/>
    </row>
    <row r="22" spans="1:15" ht="5.25" customHeight="1" thickBot="1" x14ac:dyDescent="0.7">
      <c r="A22" s="34"/>
      <c r="B22" s="35"/>
      <c r="C22" s="69"/>
      <c r="D22" s="69"/>
      <c r="E22" s="69"/>
      <c r="F22" s="69"/>
      <c r="G22" s="69"/>
      <c r="H22" s="69"/>
      <c r="I22" s="69"/>
      <c r="J22" s="69"/>
      <c r="K22" s="69"/>
      <c r="L22" s="69"/>
      <c r="M22" s="70"/>
    </row>
    <row r="23" spans="1:15" x14ac:dyDescent="0.65">
      <c r="A23" s="127" t="s">
        <v>36</v>
      </c>
      <c r="B23" s="128"/>
      <c r="C23" s="129"/>
      <c r="D23" s="129"/>
      <c r="E23" s="129"/>
      <c r="F23" s="129"/>
      <c r="G23" s="125">
        <v>32645200</v>
      </c>
      <c r="H23" s="125"/>
      <c r="I23" s="125"/>
      <c r="J23" s="125"/>
      <c r="K23" s="125"/>
      <c r="L23" s="125"/>
      <c r="M23" s="126"/>
    </row>
    <row r="24" spans="1:15" x14ac:dyDescent="0.65">
      <c r="A24" s="64" t="s">
        <v>37</v>
      </c>
      <c r="B24" s="65"/>
      <c r="C24" s="65"/>
      <c r="D24" s="65"/>
      <c r="E24" s="65"/>
      <c r="F24" s="46"/>
      <c r="G24" s="66">
        <v>0</v>
      </c>
      <c r="H24" s="67"/>
      <c r="I24" s="67"/>
      <c r="J24" s="67"/>
      <c r="K24" s="67"/>
      <c r="L24" s="67"/>
      <c r="M24" s="68"/>
    </row>
    <row r="25" spans="1:15" x14ac:dyDescent="0.65">
      <c r="A25" s="90" t="s">
        <v>38</v>
      </c>
      <c r="B25" s="91"/>
      <c r="C25" s="91"/>
      <c r="D25" s="91"/>
      <c r="E25" s="91"/>
      <c r="F25" s="92"/>
      <c r="G25" s="93">
        <f>(G23+G24)</f>
        <v>32645200</v>
      </c>
      <c r="H25" s="94"/>
      <c r="I25" s="94"/>
      <c r="J25" s="94"/>
      <c r="K25" s="94"/>
      <c r="L25" s="94"/>
      <c r="M25" s="95"/>
    </row>
    <row r="26" spans="1:15" x14ac:dyDescent="0.65">
      <c r="A26" s="45" t="s">
        <v>39</v>
      </c>
      <c r="B26" s="46"/>
      <c r="C26" s="47"/>
      <c r="D26" s="47"/>
      <c r="E26" s="47"/>
      <c r="F26" s="47"/>
      <c r="G26" s="50">
        <f>(G27/G25)</f>
        <v>8.4269662921348312E-2</v>
      </c>
      <c r="H26" s="51"/>
      <c r="I26" s="51"/>
      <c r="J26" s="51"/>
      <c r="K26" s="51"/>
      <c r="L26" s="51"/>
      <c r="M26" s="52"/>
    </row>
    <row r="27" spans="1:15" x14ac:dyDescent="0.65">
      <c r="A27" s="45" t="s">
        <v>40</v>
      </c>
      <c r="B27" s="46"/>
      <c r="C27" s="47"/>
      <c r="D27" s="47"/>
      <c r="E27" s="47"/>
      <c r="F27" s="47"/>
      <c r="G27" s="53">
        <v>2751000</v>
      </c>
      <c r="H27" s="54"/>
      <c r="I27" s="54"/>
      <c r="J27" s="54"/>
      <c r="K27" s="54"/>
      <c r="L27" s="54"/>
      <c r="M27" s="55"/>
    </row>
    <row r="28" spans="1:15" x14ac:dyDescent="0.65">
      <c r="A28" s="45" t="s">
        <v>41</v>
      </c>
      <c r="B28" s="46"/>
      <c r="C28" s="47"/>
      <c r="D28" s="47"/>
      <c r="E28" s="47"/>
      <c r="F28" s="47"/>
      <c r="G28" s="50">
        <f>G29/G25</f>
        <v>0.15730337078651685</v>
      </c>
      <c r="H28" s="51"/>
      <c r="I28" s="51"/>
      <c r="J28" s="51"/>
      <c r="K28" s="51"/>
      <c r="L28" s="51"/>
      <c r="M28" s="52"/>
    </row>
    <row r="29" spans="1:15" x14ac:dyDescent="0.65">
      <c r="A29" s="45" t="s">
        <v>42</v>
      </c>
      <c r="B29" s="46"/>
      <c r="C29" s="47"/>
      <c r="D29" s="47"/>
      <c r="E29" s="47"/>
      <c r="F29" s="47"/>
      <c r="G29" s="53">
        <f>2384200+G27</f>
        <v>5135200</v>
      </c>
      <c r="H29" s="54"/>
      <c r="I29" s="54"/>
      <c r="J29" s="54"/>
      <c r="K29" s="54"/>
      <c r="L29" s="54"/>
      <c r="M29" s="55"/>
    </row>
    <row r="30" spans="1:15" x14ac:dyDescent="0.65">
      <c r="A30" s="136" t="s">
        <v>43</v>
      </c>
      <c r="B30" s="137"/>
      <c r="C30" s="138"/>
      <c r="D30" s="138"/>
      <c r="E30" s="138"/>
      <c r="F30" s="138"/>
      <c r="G30" s="53">
        <f>(G25-G29)</f>
        <v>27510000</v>
      </c>
      <c r="H30" s="54"/>
      <c r="I30" s="54"/>
      <c r="J30" s="54"/>
      <c r="K30" s="54"/>
      <c r="L30" s="54"/>
      <c r="M30" s="55"/>
    </row>
    <row r="31" spans="1:15" ht="4.5" customHeight="1" thickBot="1" x14ac:dyDescent="0.7">
      <c r="A31" s="11"/>
      <c r="B31" s="9"/>
      <c r="C31" s="9"/>
      <c r="D31" s="9"/>
      <c r="E31" s="9"/>
      <c r="F31" s="9"/>
      <c r="G31" s="9"/>
      <c r="H31" s="9"/>
      <c r="I31" s="9"/>
      <c r="J31" s="9"/>
      <c r="K31" s="9"/>
      <c r="L31" s="9"/>
      <c r="M31" s="12"/>
    </row>
    <row r="32" spans="1:15" ht="4.5" customHeight="1" thickBot="1" x14ac:dyDescent="0.7">
      <c r="A32" s="24"/>
      <c r="B32" s="25"/>
      <c r="C32" s="25"/>
      <c r="D32" s="25"/>
      <c r="E32" s="25"/>
      <c r="F32" s="25"/>
      <c r="G32" s="25"/>
      <c r="H32" s="25"/>
      <c r="I32" s="25"/>
      <c r="J32" s="25"/>
      <c r="K32" s="25"/>
      <c r="L32" s="25"/>
      <c r="M32" s="26"/>
    </row>
    <row r="33" spans="1:13" ht="16.5" customHeight="1" thickBot="1" x14ac:dyDescent="0.7">
      <c r="A33" s="27" t="s">
        <v>44</v>
      </c>
      <c r="B33" s="22" t="s">
        <v>45</v>
      </c>
      <c r="C33" s="10" t="s">
        <v>46</v>
      </c>
      <c r="D33" s="10"/>
      <c r="E33" s="10"/>
      <c r="F33" s="10"/>
      <c r="G33" s="10"/>
      <c r="H33" s="10"/>
      <c r="I33" s="23"/>
      <c r="J33" s="254">
        <f>L6</f>
        <v>46054</v>
      </c>
      <c r="K33" s="10"/>
      <c r="L33" s="10"/>
      <c r="M33" s="28"/>
    </row>
    <row r="34" spans="1:13" ht="26.25" customHeight="1" thickBot="1" x14ac:dyDescent="0.7">
      <c r="A34" s="48" t="str">
        <f>IF((B33=A170),A172,A173)</f>
        <v>.</v>
      </c>
      <c r="B34" s="49"/>
      <c r="C34" s="49"/>
      <c r="D34" s="49"/>
      <c r="E34" s="49"/>
      <c r="F34" s="49"/>
      <c r="G34" s="49"/>
      <c r="H34" s="49"/>
      <c r="I34" s="49"/>
      <c r="J34" s="49"/>
      <c r="K34" s="49"/>
      <c r="L34" s="49"/>
      <c r="M34" s="15"/>
    </row>
    <row r="35" spans="1:13" ht="42" customHeight="1" x14ac:dyDescent="0.65">
      <c r="A35" s="119" t="s">
        <v>47</v>
      </c>
      <c r="B35" s="120"/>
      <c r="C35" s="120"/>
      <c r="D35" s="120"/>
      <c r="E35" s="120"/>
      <c r="F35" s="121"/>
      <c r="G35" s="105"/>
      <c r="H35" s="105"/>
      <c r="I35" s="105"/>
      <c r="J35" s="105"/>
      <c r="K35" s="105"/>
      <c r="L35" s="105"/>
      <c r="M35" s="106"/>
    </row>
    <row r="36" spans="1:13" x14ac:dyDescent="0.65">
      <c r="A36" s="122" t="s">
        <v>48</v>
      </c>
      <c r="B36" s="123"/>
      <c r="C36" s="123"/>
      <c r="D36" s="123"/>
      <c r="E36" s="123"/>
      <c r="F36" s="124"/>
      <c r="G36" s="107" t="s">
        <v>6</v>
      </c>
      <c r="H36" s="107"/>
      <c r="I36" s="107"/>
      <c r="J36" s="107"/>
      <c r="K36" s="107"/>
      <c r="L36" s="107"/>
      <c r="M36" s="108"/>
    </row>
    <row r="37" spans="1:13" ht="24" customHeight="1" thickBot="1" x14ac:dyDescent="0.7">
      <c r="A37" s="210" t="s">
        <v>49</v>
      </c>
      <c r="B37" s="131"/>
      <c r="C37" s="132"/>
      <c r="D37" s="192">
        <v>1000216598</v>
      </c>
      <c r="E37" s="192"/>
      <c r="F37" s="192"/>
      <c r="G37" s="130" t="s">
        <v>50</v>
      </c>
      <c r="H37" s="131"/>
      <c r="I37" s="131"/>
      <c r="J37" s="132"/>
      <c r="K37" s="133">
        <v>46081</v>
      </c>
      <c r="L37" s="134"/>
      <c r="M37" s="135"/>
    </row>
    <row r="38" spans="1:13" ht="6.75" customHeight="1" thickBot="1" x14ac:dyDescent="0.7">
      <c r="A38" s="207"/>
      <c r="B38" s="208"/>
      <c r="C38" s="208"/>
      <c r="D38" s="208"/>
      <c r="E38" s="208"/>
      <c r="F38" s="208"/>
      <c r="G38" s="208"/>
      <c r="H38" s="208"/>
      <c r="I38" s="208"/>
      <c r="J38" s="208"/>
      <c r="K38" s="208"/>
      <c r="L38" s="208"/>
      <c r="M38" s="209"/>
    </row>
    <row r="39" spans="1:13" ht="26.25" customHeight="1" thickBot="1" x14ac:dyDescent="0.7">
      <c r="A39" s="193" t="s">
        <v>51</v>
      </c>
      <c r="B39" s="194"/>
      <c r="C39" s="194"/>
      <c r="D39" s="194"/>
      <c r="E39" s="194"/>
      <c r="F39" s="194"/>
      <c r="G39" s="194"/>
      <c r="H39" s="194"/>
      <c r="I39" s="194"/>
      <c r="J39" s="194"/>
      <c r="K39" s="194"/>
      <c r="L39" s="194"/>
      <c r="M39" s="195"/>
    </row>
    <row r="40" spans="1:13" ht="18.75" customHeight="1" x14ac:dyDescent="0.65">
      <c r="A40" s="14" t="s">
        <v>52</v>
      </c>
      <c r="B40" s="19"/>
      <c r="C40" s="19"/>
      <c r="D40" s="33" t="str">
        <f>D7</f>
        <v>2023 del 2026</v>
      </c>
      <c r="E40" s="20" t="s">
        <v>53</v>
      </c>
      <c r="F40" s="19"/>
      <c r="G40" s="19"/>
      <c r="H40" s="19"/>
      <c r="I40" s="19"/>
      <c r="J40" s="19"/>
      <c r="K40" s="19"/>
      <c r="L40" s="19"/>
      <c r="M40" s="21"/>
    </row>
    <row r="41" spans="1:13" ht="29.25" customHeight="1" x14ac:dyDescent="0.65">
      <c r="A41" s="196" t="s">
        <v>54</v>
      </c>
      <c r="B41" s="197"/>
      <c r="C41" s="197"/>
      <c r="D41" s="197"/>
      <c r="E41" s="197"/>
      <c r="F41" s="197"/>
      <c r="G41" s="197"/>
      <c r="H41" s="197"/>
      <c r="I41" s="197"/>
      <c r="J41" s="197"/>
      <c r="K41" s="197"/>
      <c r="L41" s="197"/>
      <c r="M41" s="198"/>
    </row>
    <row r="42" spans="1:13" ht="6" customHeight="1" thickBot="1" x14ac:dyDescent="0.7">
      <c r="A42" s="16"/>
      <c r="B42" s="17"/>
      <c r="C42" s="17"/>
      <c r="D42" s="17"/>
      <c r="E42" s="17"/>
      <c r="F42" s="17"/>
      <c r="G42" s="17"/>
      <c r="H42" s="17"/>
      <c r="I42" s="17"/>
      <c r="J42" s="17"/>
      <c r="K42" s="17"/>
      <c r="L42" s="17"/>
      <c r="M42" s="18"/>
    </row>
    <row r="43" spans="1:13" ht="51" customHeight="1" x14ac:dyDescent="0.65">
      <c r="A43" s="199" t="s">
        <v>55</v>
      </c>
      <c r="B43" s="200"/>
      <c r="C43" s="201"/>
      <c r="D43" s="36" t="s">
        <v>56</v>
      </c>
      <c r="E43" s="191"/>
      <c r="F43" s="191"/>
      <c r="G43" s="191"/>
      <c r="H43" s="191"/>
      <c r="I43" s="189" t="s">
        <v>57</v>
      </c>
      <c r="J43" s="189"/>
      <c r="K43" s="189"/>
      <c r="L43" s="37" t="s">
        <v>56</v>
      </c>
      <c r="M43" s="38"/>
    </row>
    <row r="44" spans="1:13" ht="30.75" customHeight="1" x14ac:dyDescent="0.65">
      <c r="A44" s="199"/>
      <c r="B44" s="200"/>
      <c r="C44" s="201"/>
      <c r="D44" s="39" t="s">
        <v>48</v>
      </c>
      <c r="E44" s="206" t="s">
        <v>58</v>
      </c>
      <c r="F44" s="123"/>
      <c r="G44" s="123"/>
      <c r="H44" s="124"/>
      <c r="I44" s="190"/>
      <c r="J44" s="190"/>
      <c r="K44" s="190"/>
      <c r="L44" s="40" t="s">
        <v>48</v>
      </c>
      <c r="M44" s="42" t="s">
        <v>59</v>
      </c>
    </row>
    <row r="45" spans="1:13" ht="30.75" customHeight="1" x14ac:dyDescent="0.65">
      <c r="A45" s="199"/>
      <c r="B45" s="200"/>
      <c r="C45" s="201"/>
      <c r="D45" s="39" t="s">
        <v>60</v>
      </c>
      <c r="E45" s="206">
        <v>12455896</v>
      </c>
      <c r="F45" s="123"/>
      <c r="G45" s="123"/>
      <c r="H45" s="124"/>
      <c r="I45" s="190"/>
      <c r="J45" s="190"/>
      <c r="K45" s="190"/>
      <c r="L45" s="40" t="s">
        <v>60</v>
      </c>
      <c r="M45" s="43">
        <v>1020725949</v>
      </c>
    </row>
    <row r="46" spans="1:13" ht="30.75" customHeight="1" thickBot="1" x14ac:dyDescent="0.7">
      <c r="A46" s="119"/>
      <c r="B46" s="120"/>
      <c r="C46" s="121"/>
      <c r="D46" s="39" t="s">
        <v>61</v>
      </c>
      <c r="E46" s="206" t="s">
        <v>62</v>
      </c>
      <c r="F46" s="123"/>
      <c r="G46" s="123"/>
      <c r="H46" s="124"/>
      <c r="I46" s="190"/>
      <c r="J46" s="190"/>
      <c r="K46" s="190"/>
      <c r="L46" s="40" t="s">
        <v>63</v>
      </c>
      <c r="M46" s="44" t="s">
        <v>64</v>
      </c>
    </row>
    <row r="47" spans="1:13" s="4" customFormat="1" ht="15.75" customHeight="1" x14ac:dyDescent="0.2">
      <c r="A47" s="185" t="s">
        <v>65</v>
      </c>
      <c r="B47" s="186"/>
      <c r="C47" s="187"/>
      <c r="D47" s="187"/>
      <c r="E47" s="187"/>
      <c r="F47" s="187"/>
      <c r="G47" s="187"/>
      <c r="H47" s="187"/>
      <c r="I47" s="187"/>
      <c r="J47" s="187"/>
      <c r="K47" s="187"/>
      <c r="L47" s="187"/>
      <c r="M47" s="188"/>
    </row>
    <row r="48" spans="1:13" s="4" customFormat="1" ht="15.75" customHeight="1" x14ac:dyDescent="0.2">
      <c r="A48" s="211" t="s">
        <v>66</v>
      </c>
      <c r="B48" s="211"/>
      <c r="C48" s="211"/>
      <c r="D48" s="211"/>
      <c r="E48" s="211"/>
      <c r="F48" s="211"/>
      <c r="G48" s="211"/>
      <c r="H48" s="211"/>
      <c r="I48" s="211"/>
      <c r="J48" s="211"/>
      <c r="K48" s="211"/>
      <c r="L48" s="211"/>
      <c r="M48" s="211"/>
    </row>
    <row r="49" spans="1:13" s="4" customFormat="1" ht="15.75" customHeight="1" thickBot="1" x14ac:dyDescent="0.25">
      <c r="A49" s="182" t="s">
        <v>67</v>
      </c>
      <c r="B49" s="183"/>
      <c r="C49" s="184"/>
      <c r="D49" s="184"/>
      <c r="E49" s="184"/>
      <c r="F49" s="202" t="s">
        <v>68</v>
      </c>
      <c r="G49" s="203"/>
      <c r="H49" s="203"/>
      <c r="I49" s="203"/>
      <c r="J49" s="203"/>
      <c r="K49" s="183"/>
      <c r="L49" s="204" t="s">
        <v>69</v>
      </c>
      <c r="M49" s="205"/>
    </row>
    <row r="50" spans="1:13" ht="38.25" customHeight="1" thickBot="1" x14ac:dyDescent="0.7">
      <c r="A50" s="141" t="s">
        <v>70</v>
      </c>
      <c r="B50" s="142"/>
      <c r="C50" s="143"/>
      <c r="D50" s="139" t="s">
        <v>71</v>
      </c>
      <c r="E50" s="139"/>
      <c r="F50" s="139"/>
      <c r="G50" s="139"/>
      <c r="H50" s="139"/>
      <c r="I50" s="139"/>
      <c r="J50" s="139"/>
      <c r="K50" s="140"/>
      <c r="L50" s="5" t="s">
        <v>72</v>
      </c>
      <c r="M50" s="6" t="s">
        <v>73</v>
      </c>
    </row>
    <row r="51" spans="1:13" ht="38.25" customHeight="1" x14ac:dyDescent="0.65">
      <c r="A51" s="180">
        <v>0</v>
      </c>
      <c r="B51" s="180"/>
      <c r="C51" s="180"/>
      <c r="D51" s="181" t="s">
        <v>74</v>
      </c>
      <c r="E51" s="181"/>
      <c r="F51" s="181"/>
      <c r="G51" s="181"/>
      <c r="H51" s="181"/>
      <c r="I51" s="181"/>
      <c r="J51" s="181"/>
      <c r="K51" s="181"/>
      <c r="L51" s="7">
        <v>43690</v>
      </c>
      <c r="M51" s="8">
        <v>1</v>
      </c>
    </row>
    <row r="52" spans="1:13" ht="66" customHeight="1" x14ac:dyDescent="0.65">
      <c r="A52" s="180">
        <v>1</v>
      </c>
      <c r="B52" s="180"/>
      <c r="C52" s="180"/>
      <c r="D52" s="181" t="s">
        <v>75</v>
      </c>
      <c r="E52" s="181"/>
      <c r="F52" s="181"/>
      <c r="G52" s="181"/>
      <c r="H52" s="181"/>
      <c r="I52" s="181"/>
      <c r="J52" s="181"/>
      <c r="K52" s="181"/>
      <c r="L52" s="7">
        <v>44417</v>
      </c>
      <c r="M52" s="8">
        <v>2</v>
      </c>
    </row>
    <row r="53" spans="1:13" ht="39.75" customHeight="1" x14ac:dyDescent="0.65">
      <c r="A53" s="180">
        <v>2</v>
      </c>
      <c r="B53" s="180"/>
      <c r="C53" s="180"/>
      <c r="D53" s="181" t="s">
        <v>76</v>
      </c>
      <c r="E53" s="181"/>
      <c r="F53" s="181"/>
      <c r="G53" s="181"/>
      <c r="H53" s="181"/>
      <c r="I53" s="181"/>
      <c r="J53" s="181"/>
      <c r="K53" s="181"/>
      <c r="L53" s="7">
        <v>45861</v>
      </c>
      <c r="M53" s="8">
        <v>3</v>
      </c>
    </row>
    <row r="54" spans="1:13" ht="29.25" customHeight="1" x14ac:dyDescent="0.65">
      <c r="A54" s="180">
        <v>3</v>
      </c>
      <c r="B54" s="180"/>
      <c r="C54" s="180"/>
      <c r="D54" s="181" t="s">
        <v>77</v>
      </c>
      <c r="E54" s="181"/>
      <c r="F54" s="181"/>
      <c r="G54" s="181"/>
      <c r="H54" s="181"/>
      <c r="I54" s="181"/>
      <c r="J54" s="181"/>
      <c r="K54" s="181"/>
      <c r="L54" s="7">
        <v>45981</v>
      </c>
      <c r="M54" s="8">
        <v>4</v>
      </c>
    </row>
    <row r="55" spans="1:13" ht="29.25" customHeight="1" x14ac:dyDescent="0.65">
      <c r="A55" s="180">
        <v>4</v>
      </c>
      <c r="B55" s="180"/>
      <c r="C55" s="180"/>
      <c r="D55" s="181" t="s">
        <v>78</v>
      </c>
      <c r="E55" s="181"/>
      <c r="F55" s="181"/>
      <c r="G55" s="181"/>
      <c r="H55" s="181"/>
      <c r="I55" s="181"/>
      <c r="J55" s="181"/>
      <c r="K55" s="181"/>
      <c r="L55" s="7">
        <v>46038</v>
      </c>
      <c r="M55" s="8">
        <v>5</v>
      </c>
    </row>
    <row r="169" spans="1:14" x14ac:dyDescent="0.65">
      <c r="A169" s="13"/>
    </row>
    <row r="170" spans="1:14" hidden="1" x14ac:dyDescent="0.65">
      <c r="A170" s="29" t="s">
        <v>79</v>
      </c>
      <c r="B170" s="30"/>
      <c r="C170" s="30"/>
      <c r="D170" s="30"/>
      <c r="E170" s="30"/>
      <c r="F170" s="30"/>
      <c r="G170" s="30"/>
      <c r="H170" s="30"/>
      <c r="I170" s="30"/>
      <c r="J170" s="30"/>
      <c r="K170" s="30"/>
      <c r="L170" s="30"/>
      <c r="M170" s="30"/>
      <c r="N170" s="30"/>
    </row>
    <row r="171" spans="1:14" hidden="1" x14ac:dyDescent="0.65">
      <c r="A171" s="29" t="s">
        <v>45</v>
      </c>
      <c r="B171" s="30"/>
      <c r="C171" s="30"/>
      <c r="D171" s="30"/>
      <c r="E171" s="30"/>
      <c r="F171" s="30"/>
      <c r="G171" s="30"/>
      <c r="H171" s="30"/>
      <c r="I171" s="30"/>
      <c r="J171" s="30"/>
      <c r="K171" s="30"/>
      <c r="L171" s="30"/>
      <c r="M171" s="30"/>
      <c r="N171" s="30"/>
    </row>
    <row r="172" spans="1:14" hidden="1" x14ac:dyDescent="0.65">
      <c r="A172" s="29" t="s">
        <v>80</v>
      </c>
      <c r="B172" s="30"/>
      <c r="C172" s="30"/>
      <c r="D172" s="30"/>
      <c r="E172" s="30"/>
      <c r="F172" s="30"/>
      <c r="G172" s="30"/>
      <c r="H172" s="30"/>
      <c r="I172" s="30"/>
      <c r="J172" s="30"/>
      <c r="K172" s="30"/>
      <c r="L172" s="30"/>
      <c r="M172" s="30"/>
      <c r="N172" s="30"/>
    </row>
    <row r="173" spans="1:14" hidden="1" x14ac:dyDescent="0.65">
      <c r="A173" s="31" t="s">
        <v>81</v>
      </c>
      <c r="B173" s="30"/>
      <c r="C173" s="30"/>
      <c r="D173" s="30"/>
      <c r="E173" s="30"/>
      <c r="F173" s="30"/>
      <c r="G173" s="30"/>
      <c r="H173" s="30"/>
      <c r="I173" s="30"/>
      <c r="J173" s="30"/>
      <c r="K173" s="30"/>
      <c r="L173" s="30"/>
      <c r="M173" s="30"/>
      <c r="N173" s="30"/>
    </row>
    <row r="174" spans="1:14" hidden="1" x14ac:dyDescent="0.65">
      <c r="A174" s="32" t="s">
        <v>82</v>
      </c>
      <c r="B174" s="30"/>
      <c r="C174" s="30"/>
      <c r="D174" s="30"/>
      <c r="E174" s="30"/>
      <c r="F174" s="30"/>
      <c r="G174" s="30"/>
      <c r="H174" s="30"/>
      <c r="I174" s="30"/>
      <c r="J174" s="30"/>
      <c r="K174" s="30"/>
      <c r="L174" s="30"/>
      <c r="M174" s="30"/>
      <c r="N174" s="30"/>
    </row>
  </sheetData>
  <mergeCells count="115">
    <mergeCell ref="A49:E49"/>
    <mergeCell ref="A47:M47"/>
    <mergeCell ref="I43:K46"/>
    <mergeCell ref="E43:H43"/>
    <mergeCell ref="D37:F37"/>
    <mergeCell ref="A39:M39"/>
    <mergeCell ref="A41:M41"/>
    <mergeCell ref="A43:C46"/>
    <mergeCell ref="F49:K49"/>
    <mergeCell ref="L49:M49"/>
    <mergeCell ref="E46:H46"/>
    <mergeCell ref="E44:H44"/>
    <mergeCell ref="E45:H45"/>
    <mergeCell ref="A38:M38"/>
    <mergeCell ref="A37:C37"/>
    <mergeCell ref="A48:M48"/>
    <mergeCell ref="A53:C53"/>
    <mergeCell ref="D53:K53"/>
    <mergeCell ref="A54:C54"/>
    <mergeCell ref="D54:K54"/>
    <mergeCell ref="A55:C55"/>
    <mergeCell ref="D55:K55"/>
    <mergeCell ref="A52:C52"/>
    <mergeCell ref="D52:K52"/>
    <mergeCell ref="A51:C51"/>
    <mergeCell ref="D51:K51"/>
    <mergeCell ref="A29:F29"/>
    <mergeCell ref="G37:J37"/>
    <mergeCell ref="K37:M37"/>
    <mergeCell ref="A30:F30"/>
    <mergeCell ref="G29:M29"/>
    <mergeCell ref="G30:M30"/>
    <mergeCell ref="D50:K50"/>
    <mergeCell ref="A50:C50"/>
    <mergeCell ref="M1:M3"/>
    <mergeCell ref="A4:M4"/>
    <mergeCell ref="L5:M5"/>
    <mergeCell ref="L6:M6"/>
    <mergeCell ref="D6:K6"/>
    <mergeCell ref="A1:C3"/>
    <mergeCell ref="A6:C6"/>
    <mergeCell ref="D1:L1"/>
    <mergeCell ref="D2:L2"/>
    <mergeCell ref="D3:L3"/>
    <mergeCell ref="A5:K5"/>
    <mergeCell ref="A9:M9"/>
    <mergeCell ref="A7:C7"/>
    <mergeCell ref="L11:M11"/>
    <mergeCell ref="C15:F15"/>
    <mergeCell ref="G15:K15"/>
    <mergeCell ref="L14:M14"/>
    <mergeCell ref="G35:M35"/>
    <mergeCell ref="G36:M36"/>
    <mergeCell ref="A28:F28"/>
    <mergeCell ref="C13:F13"/>
    <mergeCell ref="G13:K13"/>
    <mergeCell ref="C14:F14"/>
    <mergeCell ref="G14:K14"/>
    <mergeCell ref="D7:M7"/>
    <mergeCell ref="C10:F10"/>
    <mergeCell ref="G10:K10"/>
    <mergeCell ref="A8:M8"/>
    <mergeCell ref="L15:M15"/>
    <mergeCell ref="L12:M12"/>
    <mergeCell ref="L13:M13"/>
    <mergeCell ref="L10:M10"/>
    <mergeCell ref="C12:F12"/>
    <mergeCell ref="G12:K12"/>
    <mergeCell ref="C11:F11"/>
    <mergeCell ref="A35:F35"/>
    <mergeCell ref="A36:F36"/>
    <mergeCell ref="G23:M23"/>
    <mergeCell ref="L21:M21"/>
    <mergeCell ref="A23:F23"/>
    <mergeCell ref="C16:F16"/>
    <mergeCell ref="G16:K16"/>
    <mergeCell ref="C17:F17"/>
    <mergeCell ref="G17:K17"/>
    <mergeCell ref="C18:F18"/>
    <mergeCell ref="G18:K18"/>
    <mergeCell ref="C19:F19"/>
    <mergeCell ref="A25:F25"/>
    <mergeCell ref="G25:M25"/>
    <mergeCell ref="A19:B19"/>
    <mergeCell ref="L18:M18"/>
    <mergeCell ref="L19:M19"/>
    <mergeCell ref="G19:K19"/>
    <mergeCell ref="A20:B20"/>
    <mergeCell ref="C20:F20"/>
    <mergeCell ref="G20:K20"/>
    <mergeCell ref="L20:M20"/>
    <mergeCell ref="A27:F27"/>
    <mergeCell ref="A34:L34"/>
    <mergeCell ref="G26:M26"/>
    <mergeCell ref="A26:F26"/>
    <mergeCell ref="G28:M28"/>
    <mergeCell ref="G27:M27"/>
    <mergeCell ref="G11:K11"/>
    <mergeCell ref="A10:B10"/>
    <mergeCell ref="A11:B11"/>
    <mergeCell ref="A12:B12"/>
    <mergeCell ref="A13:B13"/>
    <mergeCell ref="A14:B14"/>
    <mergeCell ref="A15:B15"/>
    <mergeCell ref="A24:F24"/>
    <mergeCell ref="G24:M24"/>
    <mergeCell ref="C22:M22"/>
    <mergeCell ref="G21:K21"/>
    <mergeCell ref="C21:F21"/>
    <mergeCell ref="L16:M16"/>
    <mergeCell ref="L17:M17"/>
    <mergeCell ref="A21:B21"/>
    <mergeCell ref="A16:B16"/>
    <mergeCell ref="A17:B17"/>
    <mergeCell ref="A18:B18"/>
  </mergeCells>
  <dataValidations count="1">
    <dataValidation type="list" allowBlank="1" showInputMessage="1" showErrorMessage="1" sqref="A170:A171 B33" xr:uid="{00000000-0002-0000-0000-000000000000}">
      <formula1>$A$170:$A$171</formula1>
    </dataValidation>
  </dataValidations>
  <hyperlinks>
    <hyperlink ref="A174" r:id="rId1" xr:uid="{00000000-0004-0000-0000-000000000000}"/>
    <hyperlink ref="L11" r:id="rId2" xr:uid="{E3253317-4173-4654-990D-0ED4E33D0CBD}"/>
    <hyperlink ref="L20:M20" r:id="rId3" display="Se da fé de la discreción que se guardo con la información y se puede validar con el líder del equipo de Gestión de Calidad y Control de la Información " xr:uid="{67981B72-6FED-4CC8-82B7-6FFF931566F5}"/>
    <hyperlink ref="L21" r:id="rId4" display="https://apps.powerapps.com/play/e/default-58ec5e61-0ed7-4021-a4f8-c2e2b3b9f5ff/a/9f47d67b-a14a-449a-9e20-5fba6e6e51c3?tenantId=58ec5e61-0ed7-4021-a4f8-c2e2b3b9f5ff&amp;sourcetime=1757003904953" xr:uid="{C85927E7-B9E8-454B-AA9E-9FAC0C7222F4}"/>
    <hyperlink ref="L18:M18" r:id="rId5" display="Link a OneDrive del empleado en el cual se pueden encontrar los documentos realizados" xr:uid="{E8C6F20F-767E-45CE-B7FC-D8153B613D9C}"/>
    <hyperlink ref="L19:M19" r:id="rId6" display="Link a Microsoft Teams" xr:uid="{24A14831-61CF-42A4-89E5-0DDF60CE3EB7}"/>
    <hyperlink ref="L12" r:id="rId7" display="https://apps.powerapps.com/play/e/default-58ec5e61-0ed7-4021-a4f8-c2e2b3b9f5ff/a/9f47d67b-a14a-449a-9e20-5fba6e6e51c3?tenantId=58ec5e61-0ed7-4021-a4f8-c2e2b3b9f5ff&amp;sourcetime=1757003904953" xr:uid="{027D8AEE-DFF3-4E59-815B-EDD9FFD11112}"/>
    <hyperlink ref="L14" r:id="rId8" display="https://github.com/EcosistemaUNP/bk-sp-asp/commits/JCalixto-dev " xr:uid="{7F52FBD6-CDEB-407A-9004-724AA1BA5E68}"/>
    <hyperlink ref="L13" r:id="rId9" xr:uid="{D1690AFF-6CB3-462D-8678-24102A3B8BBD}"/>
    <hyperlink ref="L15" r:id="rId10" xr:uid="{48B55E5B-BA6C-4990-A89F-53219BF153D1}"/>
    <hyperlink ref="L16" r:id="rId11" xr:uid="{6AF4E952-607D-4877-9FAE-76BF9E31AEBC}"/>
    <hyperlink ref="L17" r:id="rId12" xr:uid="{2AF2624A-16C4-404A-B014-80281494658C}"/>
  </hyperlinks>
  <printOptions horizontalCentered="1" verticalCentered="1"/>
  <pageMargins left="0.25" right="0.25" top="0.75" bottom="0.75" header="0.3" footer="0.3"/>
  <pageSetup paperSize="9" scale="49" fitToHeight="0" orientation="portrait" r:id="rId13"/>
  <rowBreaks count="1" manualBreakCount="1">
    <brk id="18" max="12" man="1"/>
  </rowBreaks>
  <ignoredErrors>
    <ignoredError sqref="G30 G25" unlockedFormula="1"/>
  </ignoredErrors>
  <drawing r:id="rId14"/>
  <legacy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M26"/>
  <sheetViews>
    <sheetView view="pageBreakPreview" zoomScale="82" zoomScaleNormal="100" zoomScaleSheetLayoutView="82" workbookViewId="0">
      <selection activeCell="F36" sqref="F36"/>
    </sheetView>
  </sheetViews>
  <sheetFormatPr baseColWidth="10" defaultColWidth="11.42578125" defaultRowHeight="18" x14ac:dyDescent="0.55000000000000004"/>
  <cols>
    <col min="1" max="2" width="11.42578125" style="3"/>
    <col min="3" max="3" width="6.85546875" style="3" customWidth="1"/>
    <col min="4" max="4" width="5.28515625" style="3" customWidth="1"/>
    <col min="5" max="5" width="10" style="3" customWidth="1"/>
    <col min="6" max="6" width="12" style="3" customWidth="1"/>
    <col min="7" max="10" width="7.5703125" style="3" customWidth="1"/>
    <col min="11" max="12" width="10.85546875" style="3" customWidth="1"/>
    <col min="13" max="16384" width="11.42578125" style="3"/>
  </cols>
  <sheetData>
    <row r="1" spans="1:13" ht="26.25" customHeight="1" x14ac:dyDescent="0.55000000000000004">
      <c r="A1" s="214"/>
      <c r="B1" s="214"/>
      <c r="C1" s="222" t="s">
        <v>83</v>
      </c>
      <c r="D1" s="223"/>
      <c r="E1" s="223"/>
      <c r="F1" s="223"/>
      <c r="G1" s="223"/>
      <c r="H1" s="223"/>
      <c r="I1" s="223"/>
      <c r="J1" s="223"/>
      <c r="K1" s="223"/>
      <c r="L1" s="214"/>
      <c r="M1" s="214"/>
    </row>
    <row r="2" spans="1:13" ht="30" customHeight="1" x14ac:dyDescent="0.55000000000000004">
      <c r="A2" s="214"/>
      <c r="B2" s="214"/>
      <c r="C2" s="224" t="s">
        <v>1</v>
      </c>
      <c r="D2" s="225"/>
      <c r="E2" s="225"/>
      <c r="F2" s="225"/>
      <c r="G2" s="225"/>
      <c r="H2" s="225"/>
      <c r="I2" s="225"/>
      <c r="J2" s="225"/>
      <c r="K2" s="225"/>
      <c r="L2" s="214"/>
      <c r="M2" s="214"/>
    </row>
    <row r="3" spans="1:13" ht="21" customHeight="1" thickBot="1" x14ac:dyDescent="0.6">
      <c r="A3" s="215"/>
      <c r="B3" s="215"/>
      <c r="C3" s="226" t="s">
        <v>84</v>
      </c>
      <c r="D3" s="227"/>
      <c r="E3" s="227"/>
      <c r="F3" s="227"/>
      <c r="G3" s="227"/>
      <c r="H3" s="227"/>
      <c r="I3" s="227"/>
      <c r="J3" s="227"/>
      <c r="K3" s="227"/>
      <c r="L3" s="215"/>
      <c r="M3" s="215"/>
    </row>
    <row r="4" spans="1:13" ht="9" customHeight="1" thickBot="1" x14ac:dyDescent="0.6">
      <c r="A4" s="228"/>
      <c r="B4" s="229"/>
      <c r="C4" s="229"/>
      <c r="D4" s="229"/>
      <c r="E4" s="229"/>
      <c r="F4" s="229"/>
      <c r="G4" s="229"/>
      <c r="H4" s="229"/>
      <c r="I4" s="229"/>
      <c r="J4" s="229"/>
      <c r="K4" s="229"/>
      <c r="L4" s="229"/>
      <c r="M4" s="230"/>
    </row>
    <row r="5" spans="1:13" ht="25.5" customHeight="1" thickBot="1" x14ac:dyDescent="0.6">
      <c r="A5" s="232" t="s">
        <v>85</v>
      </c>
      <c r="B5" s="233"/>
      <c r="C5" s="233"/>
      <c r="D5" s="233"/>
      <c r="E5" s="233"/>
      <c r="F5" s="234"/>
      <c r="G5" s="235" t="s">
        <v>86</v>
      </c>
      <c r="H5" s="236"/>
      <c r="I5" s="236"/>
      <c r="J5" s="236"/>
      <c r="K5" s="236"/>
      <c r="L5" s="236"/>
      <c r="M5" s="237"/>
    </row>
    <row r="6" spans="1:13" ht="25.5" customHeight="1" x14ac:dyDescent="0.55000000000000004">
      <c r="A6" s="238" t="s">
        <v>87</v>
      </c>
      <c r="B6" s="239"/>
      <c r="C6" s="239"/>
      <c r="D6" s="239"/>
      <c r="E6" s="239"/>
      <c r="F6" s="240"/>
      <c r="G6" s="241" t="s">
        <v>88</v>
      </c>
      <c r="H6" s="242"/>
      <c r="I6" s="242"/>
      <c r="J6" s="242"/>
      <c r="K6" s="242"/>
      <c r="L6" s="242"/>
      <c r="M6" s="243"/>
    </row>
    <row r="7" spans="1:13" ht="29.25" customHeight="1" x14ac:dyDescent="0.55000000000000004">
      <c r="A7" s="216" t="s">
        <v>89</v>
      </c>
      <c r="B7" s="217"/>
      <c r="C7" s="217"/>
      <c r="D7" s="217"/>
      <c r="E7" s="217"/>
      <c r="F7" s="218"/>
      <c r="G7" s="244" t="s">
        <v>90</v>
      </c>
      <c r="H7" s="245"/>
      <c r="I7" s="245"/>
      <c r="J7" s="245"/>
      <c r="K7" s="245"/>
      <c r="L7" s="245"/>
      <c r="M7" s="246"/>
    </row>
    <row r="8" spans="1:13" ht="21" customHeight="1" x14ac:dyDescent="0.55000000000000004">
      <c r="A8" s="216" t="str">
        <f>+Formato!L5</f>
        <v>PERIODO INFORMADO</v>
      </c>
      <c r="B8" s="217"/>
      <c r="C8" s="217"/>
      <c r="D8" s="217"/>
      <c r="E8" s="217"/>
      <c r="F8" s="218"/>
      <c r="G8" s="219" t="s">
        <v>91</v>
      </c>
      <c r="H8" s="220"/>
      <c r="I8" s="220"/>
      <c r="J8" s="220"/>
      <c r="K8" s="220"/>
      <c r="L8" s="220"/>
      <c r="M8" s="221"/>
    </row>
    <row r="9" spans="1:13" ht="21" customHeight="1" x14ac:dyDescent="0.55000000000000004">
      <c r="A9" s="216" t="str">
        <f>+Formato!C10</f>
        <v xml:space="preserve">OBLIGACIÓN CONTRACTUAL </v>
      </c>
      <c r="B9" s="217"/>
      <c r="C9" s="217"/>
      <c r="D9" s="217"/>
      <c r="E9" s="217"/>
      <c r="F9" s="218"/>
      <c r="G9" s="219" t="s">
        <v>92</v>
      </c>
      <c r="H9" s="220"/>
      <c r="I9" s="220"/>
      <c r="J9" s="220"/>
      <c r="K9" s="220"/>
      <c r="L9" s="220"/>
      <c r="M9" s="221"/>
    </row>
    <row r="10" spans="1:13" ht="42.75" customHeight="1" x14ac:dyDescent="0.55000000000000004">
      <c r="A10" s="216" t="s">
        <v>93</v>
      </c>
      <c r="B10" s="217"/>
      <c r="C10" s="217"/>
      <c r="D10" s="217"/>
      <c r="E10" s="217"/>
      <c r="F10" s="218"/>
      <c r="G10" s="219" t="s">
        <v>94</v>
      </c>
      <c r="H10" s="220"/>
      <c r="I10" s="220"/>
      <c r="J10" s="220"/>
      <c r="K10" s="220"/>
      <c r="L10" s="220"/>
      <c r="M10" s="221"/>
    </row>
    <row r="11" spans="1:13" ht="42.75" customHeight="1" x14ac:dyDescent="0.55000000000000004">
      <c r="A11" s="216" t="str">
        <f>+Formato!L10</f>
        <v>EVIDENCIA- REGISTRO Y/O SOPORTE DE LA EJECUCIÓN DE LA ACTIVIDAD REALIZADA</v>
      </c>
      <c r="B11" s="217"/>
      <c r="C11" s="217"/>
      <c r="D11" s="217"/>
      <c r="E11" s="217"/>
      <c r="F11" s="218"/>
      <c r="G11" s="219" t="s">
        <v>95</v>
      </c>
      <c r="H11" s="220"/>
      <c r="I11" s="220"/>
      <c r="J11" s="220"/>
      <c r="K11" s="220"/>
      <c r="L11" s="220"/>
      <c r="M11" s="221"/>
    </row>
    <row r="12" spans="1:13" ht="21" customHeight="1" x14ac:dyDescent="0.55000000000000004">
      <c r="A12" s="216" t="s">
        <v>96</v>
      </c>
      <c r="B12" s="217"/>
      <c r="C12" s="217"/>
      <c r="D12" s="217"/>
      <c r="E12" s="217"/>
      <c r="F12" s="218"/>
      <c r="G12" s="219" t="s">
        <v>97</v>
      </c>
      <c r="H12" s="220"/>
      <c r="I12" s="220"/>
      <c r="J12" s="220"/>
      <c r="K12" s="220"/>
      <c r="L12" s="220"/>
      <c r="M12" s="221"/>
    </row>
    <row r="13" spans="1:13" ht="35.25" customHeight="1" x14ac:dyDescent="0.55000000000000004">
      <c r="A13" s="216" t="s">
        <v>98</v>
      </c>
      <c r="B13" s="217"/>
      <c r="C13" s="217"/>
      <c r="D13" s="217"/>
      <c r="E13" s="217"/>
      <c r="F13" s="218"/>
      <c r="G13" s="219" t="s">
        <v>99</v>
      </c>
      <c r="H13" s="220"/>
      <c r="I13" s="220"/>
      <c r="J13" s="220"/>
      <c r="K13" s="220"/>
      <c r="L13" s="220"/>
      <c r="M13" s="221"/>
    </row>
    <row r="14" spans="1:13" ht="41.25" customHeight="1" x14ac:dyDescent="0.55000000000000004">
      <c r="A14" s="216" t="s">
        <v>38</v>
      </c>
      <c r="B14" s="217"/>
      <c r="C14" s="217"/>
      <c r="D14" s="217"/>
      <c r="E14" s="217"/>
      <c r="F14" s="218"/>
      <c r="G14" s="219" t="s">
        <v>100</v>
      </c>
      <c r="H14" s="220"/>
      <c r="I14" s="220"/>
      <c r="J14" s="220"/>
      <c r="K14" s="220"/>
      <c r="L14" s="220"/>
      <c r="M14" s="221"/>
    </row>
    <row r="15" spans="1:13" ht="33.75" customHeight="1" x14ac:dyDescent="0.55000000000000004">
      <c r="A15" s="216" t="s">
        <v>39</v>
      </c>
      <c r="B15" s="217"/>
      <c r="C15" s="217"/>
      <c r="D15" s="217"/>
      <c r="E15" s="217"/>
      <c r="F15" s="218"/>
      <c r="G15" s="219" t="s">
        <v>101</v>
      </c>
      <c r="H15" s="220"/>
      <c r="I15" s="220"/>
      <c r="J15" s="220"/>
      <c r="K15" s="220"/>
      <c r="L15" s="220"/>
      <c r="M15" s="221"/>
    </row>
    <row r="16" spans="1:13" ht="21" customHeight="1" x14ac:dyDescent="0.55000000000000004">
      <c r="A16" s="216" t="s">
        <v>40</v>
      </c>
      <c r="B16" s="217"/>
      <c r="C16" s="217"/>
      <c r="D16" s="217"/>
      <c r="E16" s="217"/>
      <c r="F16" s="218"/>
      <c r="G16" s="244" t="s">
        <v>102</v>
      </c>
      <c r="H16" s="245"/>
      <c r="I16" s="245"/>
      <c r="J16" s="245"/>
      <c r="K16" s="245"/>
      <c r="L16" s="245"/>
      <c r="M16" s="246"/>
    </row>
    <row r="17" spans="1:13" ht="36.75" customHeight="1" x14ac:dyDescent="0.55000000000000004">
      <c r="A17" s="216" t="s">
        <v>41</v>
      </c>
      <c r="B17" s="217"/>
      <c r="C17" s="217"/>
      <c r="D17" s="217"/>
      <c r="E17" s="217"/>
      <c r="F17" s="218"/>
      <c r="G17" s="219" t="s">
        <v>103</v>
      </c>
      <c r="H17" s="220"/>
      <c r="I17" s="220"/>
      <c r="J17" s="220"/>
      <c r="K17" s="220"/>
      <c r="L17" s="220"/>
      <c r="M17" s="221"/>
    </row>
    <row r="18" spans="1:13" ht="33" customHeight="1" x14ac:dyDescent="0.55000000000000004">
      <c r="A18" s="216" t="s">
        <v>42</v>
      </c>
      <c r="B18" s="217"/>
      <c r="C18" s="217"/>
      <c r="D18" s="217"/>
      <c r="E18" s="217"/>
      <c r="F18" s="218"/>
      <c r="G18" s="219" t="s">
        <v>104</v>
      </c>
      <c r="H18" s="220"/>
      <c r="I18" s="220"/>
      <c r="J18" s="220"/>
      <c r="K18" s="220"/>
      <c r="L18" s="220"/>
      <c r="M18" s="221"/>
    </row>
    <row r="19" spans="1:13" ht="39" customHeight="1" x14ac:dyDescent="0.55000000000000004">
      <c r="A19" s="216" t="s">
        <v>43</v>
      </c>
      <c r="B19" s="217"/>
      <c r="C19" s="217"/>
      <c r="D19" s="217"/>
      <c r="E19" s="217"/>
      <c r="F19" s="218"/>
      <c r="G19" s="219" t="s">
        <v>105</v>
      </c>
      <c r="H19" s="220"/>
      <c r="I19" s="220"/>
      <c r="J19" s="220"/>
      <c r="K19" s="220"/>
      <c r="L19" s="220"/>
      <c r="M19" s="221"/>
    </row>
    <row r="20" spans="1:13" ht="39" customHeight="1" x14ac:dyDescent="0.55000000000000004">
      <c r="A20" s="216" t="s">
        <v>106</v>
      </c>
      <c r="B20" s="217"/>
      <c r="C20" s="217"/>
      <c r="D20" s="217"/>
      <c r="E20" s="217"/>
      <c r="F20" s="218"/>
      <c r="G20" s="249" t="s">
        <v>107</v>
      </c>
      <c r="H20" s="250"/>
      <c r="I20" s="250"/>
      <c r="J20" s="250"/>
      <c r="K20" s="250"/>
      <c r="L20" s="250"/>
      <c r="M20" s="251"/>
    </row>
    <row r="21" spans="1:13" ht="31.5" customHeight="1" x14ac:dyDescent="0.55000000000000004">
      <c r="A21" s="216" t="s">
        <v>108</v>
      </c>
      <c r="B21" s="217"/>
      <c r="C21" s="217"/>
      <c r="D21" s="217"/>
      <c r="E21" s="217"/>
      <c r="F21" s="218"/>
      <c r="G21" s="219" t="s">
        <v>109</v>
      </c>
      <c r="H21" s="220"/>
      <c r="I21" s="220"/>
      <c r="J21" s="220"/>
      <c r="K21" s="220"/>
      <c r="L21" s="220"/>
      <c r="M21" s="221"/>
    </row>
    <row r="22" spans="1:13" ht="26.25" customHeight="1" x14ac:dyDescent="0.55000000000000004">
      <c r="A22" s="216" t="s">
        <v>110</v>
      </c>
      <c r="B22" s="217"/>
      <c r="C22" s="217"/>
      <c r="D22" s="217"/>
      <c r="E22" s="217"/>
      <c r="F22" s="218"/>
      <c r="G22" s="219" t="s">
        <v>111</v>
      </c>
      <c r="H22" s="220"/>
      <c r="I22" s="220"/>
      <c r="J22" s="220"/>
      <c r="K22" s="220"/>
      <c r="L22" s="220"/>
      <c r="M22" s="221"/>
    </row>
    <row r="23" spans="1:13" ht="58.5" customHeight="1" x14ac:dyDescent="0.55000000000000004">
      <c r="A23" s="216" t="s">
        <v>51</v>
      </c>
      <c r="B23" s="217"/>
      <c r="C23" s="217"/>
      <c r="D23" s="217"/>
      <c r="E23" s="217"/>
      <c r="F23" s="218"/>
      <c r="G23" s="219" t="s">
        <v>112</v>
      </c>
      <c r="H23" s="220"/>
      <c r="I23" s="220"/>
      <c r="J23" s="220"/>
      <c r="K23" s="220"/>
      <c r="L23" s="220"/>
      <c r="M23" s="221"/>
    </row>
    <row r="24" spans="1:13" ht="60" customHeight="1" x14ac:dyDescent="0.55000000000000004">
      <c r="A24" s="216" t="s">
        <v>113</v>
      </c>
      <c r="B24" s="217"/>
      <c r="C24" s="217"/>
      <c r="D24" s="217"/>
      <c r="E24" s="217"/>
      <c r="F24" s="218"/>
      <c r="G24" s="231" t="s">
        <v>114</v>
      </c>
      <c r="H24" s="220"/>
      <c r="I24" s="220"/>
      <c r="J24" s="220"/>
      <c r="K24" s="220"/>
      <c r="L24" s="220"/>
      <c r="M24" s="221"/>
    </row>
    <row r="25" spans="1:13" ht="67.5" customHeight="1" x14ac:dyDescent="0.55000000000000004">
      <c r="A25" s="248" t="s">
        <v>57</v>
      </c>
      <c r="B25" s="248"/>
      <c r="C25" s="248"/>
      <c r="D25" s="248"/>
      <c r="E25" s="248"/>
      <c r="F25" s="248"/>
      <c r="G25" s="247" t="s">
        <v>115</v>
      </c>
      <c r="H25" s="247"/>
      <c r="I25" s="247"/>
      <c r="J25" s="247"/>
      <c r="K25" s="247"/>
      <c r="L25" s="247"/>
      <c r="M25" s="247"/>
    </row>
    <row r="26" spans="1:13" ht="80.25" customHeight="1" x14ac:dyDescent="0.55000000000000004">
      <c r="A26" s="212" t="s">
        <v>116</v>
      </c>
      <c r="B26" s="212"/>
      <c r="C26" s="212"/>
      <c r="D26" s="212"/>
      <c r="E26" s="212"/>
      <c r="F26" s="212"/>
      <c r="G26" s="213" t="s">
        <v>117</v>
      </c>
      <c r="H26" s="213"/>
      <c r="I26" s="213"/>
      <c r="J26" s="213"/>
      <c r="K26" s="213"/>
      <c r="L26" s="213"/>
      <c r="M26" s="213"/>
    </row>
  </sheetData>
  <mergeCells count="50">
    <mergeCell ref="A23:F23"/>
    <mergeCell ref="G23:M23"/>
    <mergeCell ref="G21:M21"/>
    <mergeCell ref="A20:F20"/>
    <mergeCell ref="G20:M20"/>
    <mergeCell ref="G22:M22"/>
    <mergeCell ref="G25:M25"/>
    <mergeCell ref="G16:M16"/>
    <mergeCell ref="G17:M17"/>
    <mergeCell ref="G13:M13"/>
    <mergeCell ref="A14:F14"/>
    <mergeCell ref="G14:M14"/>
    <mergeCell ref="A13:F13"/>
    <mergeCell ref="A15:F15"/>
    <mergeCell ref="A16:F16"/>
    <mergeCell ref="G15:M15"/>
    <mergeCell ref="A25:F25"/>
    <mergeCell ref="A21:F21"/>
    <mergeCell ref="A22:F22"/>
    <mergeCell ref="A24:F24"/>
    <mergeCell ref="A17:F17"/>
    <mergeCell ref="A18:F18"/>
    <mergeCell ref="A19:F19"/>
    <mergeCell ref="G18:M18"/>
    <mergeCell ref="G19:M19"/>
    <mergeCell ref="A6:F6"/>
    <mergeCell ref="G6:M6"/>
    <mergeCell ref="A7:F7"/>
    <mergeCell ref="G7:M7"/>
    <mergeCell ref="G12:M12"/>
    <mergeCell ref="A10:F10"/>
    <mergeCell ref="G10:M10"/>
    <mergeCell ref="A11:F11"/>
    <mergeCell ref="G11:M11"/>
    <mergeCell ref="A26:F26"/>
    <mergeCell ref="G26:M26"/>
    <mergeCell ref="L1:M3"/>
    <mergeCell ref="A9:F9"/>
    <mergeCell ref="G9:M9"/>
    <mergeCell ref="C1:K1"/>
    <mergeCell ref="C2:K2"/>
    <mergeCell ref="C3:K3"/>
    <mergeCell ref="A1:B3"/>
    <mergeCell ref="A4:M4"/>
    <mergeCell ref="A8:F8"/>
    <mergeCell ref="G8:M8"/>
    <mergeCell ref="G24:M24"/>
    <mergeCell ref="A5:F5"/>
    <mergeCell ref="G5:M5"/>
    <mergeCell ref="A12:F12"/>
  </mergeCells>
  <pageMargins left="0.7" right="0.7" top="0.75" bottom="0.75" header="0.3" footer="0.3"/>
  <pageSetup paperSize="9" scale="72"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D8962D83CB3E0248A7ACF655DAD9D3AD" ma:contentTypeVersion="2" ma:contentTypeDescription="Crear nuevo documento." ma:contentTypeScope="" ma:versionID="83fb05ca33fd411246b6c8207d5fb07f">
  <xsd:schema xmlns:xsd="http://www.w3.org/2001/XMLSchema" xmlns:xs="http://www.w3.org/2001/XMLSchema" xmlns:p="http://schemas.microsoft.com/office/2006/metadata/properties" xmlns:ns1="http://schemas.microsoft.com/sharepoint/v3" xmlns:ns2="31bbf60d-c53f-4949-90ec-7b0c5265cdd1" targetNamespace="http://schemas.microsoft.com/office/2006/metadata/properties" ma:root="true" ma:fieldsID="f0b01ce740d8fc6d71522fea3c8241af" ns1:_="" ns2:_="">
    <xsd:import namespace="http://schemas.microsoft.com/sharepoint/v3"/>
    <xsd:import namespace="31bbf60d-c53f-4949-90ec-7b0c5265cdd1"/>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Fecha de inicio programada" ma:description="Fecha de inicio programada es una columna del sitio que crea la característica Publicación. Se usa para especificar la fecha y la hora a la que esta página se presentará por primera vez a los visitantes del sitio." ma:hidden="true" ma:internalName="PublishingStartDate">
      <xsd:simpleType>
        <xsd:restriction base="dms:Unknown"/>
      </xsd:simpleType>
    </xsd:element>
    <xsd:element name="PublishingExpirationDate" ma:index="9" nillable="true" ma:displayName="Fecha de finalización programada" ma:description="Fecha de finalización programada es una columna del sitio que crea la característica Publicación. Se usa para especificar la fecha y la hora a la que esta página dejará de presentarse a los visitantes del sitio."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1bbf60d-c53f-4949-90ec-7b0c5265cdd1" elementFormDefault="qualified">
    <xsd:import namespace="http://schemas.microsoft.com/office/2006/documentManagement/types"/>
    <xsd:import namespace="http://schemas.microsoft.com/office/infopath/2007/PartnerControls"/>
    <xsd:element name="SharedWithUsers" ma:index="10"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ublishingExpirationDate xmlns="http://schemas.microsoft.com/sharepoint/v3" xsi:nil="true"/>
    <PublishingStartDate xmlns="http://schemas.microsoft.com/sharepoint/v3" xsi:nil="true"/>
    <SharedWithUsers xmlns="31bbf60d-c53f-4949-90ec-7b0c5265cdd1">
      <UserInfo>
        <DisplayName>Duberlys Maria Santiago Arenas</DisplayName>
        <AccountId>3633</AccountId>
        <AccountType/>
      </UserInfo>
    </SharedWithUsers>
  </documentManagement>
</p:properties>
</file>

<file path=customXml/itemProps1.xml><?xml version="1.0" encoding="utf-8"?>
<ds:datastoreItem xmlns:ds="http://schemas.openxmlformats.org/officeDocument/2006/customXml" ds:itemID="{D33ACA08-BFAA-4E8D-B137-D10B78EB96D3}">
  <ds:schemaRefs>
    <ds:schemaRef ds:uri="http://schemas.microsoft.com/sharepoint/v3/contenttype/forms"/>
  </ds:schemaRefs>
</ds:datastoreItem>
</file>

<file path=customXml/itemProps2.xml><?xml version="1.0" encoding="utf-8"?>
<ds:datastoreItem xmlns:ds="http://schemas.openxmlformats.org/officeDocument/2006/customXml" ds:itemID="{C70714B0-D84B-495B-A878-BE73B355A2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1bbf60d-c53f-4949-90ec-7b0c5265cd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08777A-E391-4B10-9FB8-8AC77A2BC516}">
  <ds:schemaRefs>
    <ds:schemaRef ds:uri="http://schemas.microsoft.com/office/2006/metadata/properties"/>
    <ds:schemaRef ds:uri="http://purl.org/dc/elements/1.1/"/>
    <ds:schemaRef ds:uri="http://purl.org/dc/dcmitype/"/>
    <ds:schemaRef ds:uri="http://www.w3.org/XML/1998/namespace"/>
    <ds:schemaRef ds:uri="http://schemas.microsoft.com/office/2006/documentManagement/types"/>
    <ds:schemaRef ds:uri="31bbf60d-c53f-4949-90ec-7b0c5265cdd1"/>
    <ds:schemaRef ds:uri="http://purl.org/dc/terms/"/>
    <ds:schemaRef ds:uri="http://schemas.microsoft.com/office/infopath/2007/PartnerControls"/>
    <ds:schemaRef ds:uri="http://schemas.openxmlformats.org/package/2006/metadata/core-properties"/>
    <ds:schemaRef ds:uri="http://schemas.microsoft.com/sharepoint/v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Formato</vt:lpstr>
      <vt:lpstr>Instructivo</vt:lpstr>
      <vt:lpstr>Formato!Área_de_impresión</vt:lpstr>
      <vt:lpstr>Instructivo!Área_de_impresión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Martha Lucila Castro Salazar</dc:creator>
  <cp:keywords/>
  <dc:description/>
  <cp:lastModifiedBy>Juan Felipe Calixto Londoño</cp:lastModifiedBy>
  <cp:revision/>
  <dcterms:created xsi:type="dcterms:W3CDTF">2016-06-22T19:59:24Z</dcterms:created>
  <dcterms:modified xsi:type="dcterms:W3CDTF">2026-02-19T18:06:28Z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0x010100D8962D83CB3E0248A7ACF655DAD9D3AD</vt:lpwstr>
  </property>
</Properties>
</file>